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f6840b883d0bb0/pi/2026/"/>
    </mc:Choice>
  </mc:AlternateContent>
  <xr:revisionPtr revIDLastSave="336" documentId="8_{C3B62E33-2DAA-4352-A6BF-8CE5882DE3CA}" xr6:coauthVersionLast="47" xr6:coauthVersionMax="47" xr10:uidLastSave="{11C27752-84AB-492A-B32D-89D518F0814B}"/>
  <bookViews>
    <workbookView xWindow="-110" yWindow="-110" windowWidth="19420" windowHeight="11620" xr2:uid="{ECCED22E-90DC-4728-AF87-EE8D56A01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C53" i="1"/>
  <c r="C54" i="1"/>
  <c r="C55" i="1"/>
  <c r="C51" i="1" l="1"/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D32" i="1" l="1"/>
  <c r="D48" i="1"/>
  <c r="D31" i="1"/>
  <c r="D15" i="1"/>
  <c r="D46" i="1"/>
  <c r="D30" i="1"/>
  <c r="D14" i="1"/>
  <c r="D29" i="1"/>
  <c r="D44" i="1"/>
  <c r="D28" i="1"/>
  <c r="D12" i="1"/>
  <c r="D27" i="1"/>
  <c r="D11" i="1"/>
  <c r="D42" i="1"/>
  <c r="D26" i="1"/>
  <c r="D10" i="1"/>
  <c r="D45" i="1"/>
  <c r="D25" i="1"/>
  <c r="D9" i="1"/>
  <c r="D41" i="1"/>
  <c r="D24" i="1"/>
  <c r="D8" i="1"/>
  <c r="D16" i="1"/>
  <c r="D23" i="1"/>
  <c r="D7" i="1"/>
  <c r="D43" i="1"/>
  <c r="D22" i="1"/>
  <c r="D6" i="1"/>
  <c r="D47" i="1"/>
  <c r="D40" i="1"/>
  <c r="D21" i="1"/>
  <c r="D5" i="1"/>
  <c r="D38" i="1"/>
  <c r="D20" i="1"/>
  <c r="D4" i="1"/>
  <c r="D36" i="1"/>
  <c r="D35" i="1"/>
  <c r="D19" i="1"/>
  <c r="D3" i="1"/>
  <c r="D13" i="1"/>
  <c r="D37" i="1"/>
  <c r="D50" i="1"/>
  <c r="D34" i="1"/>
  <c r="D18" i="1"/>
  <c r="D52" i="1"/>
  <c r="D2" i="1"/>
  <c r="D55" i="1"/>
  <c r="D53" i="1"/>
  <c r="D54" i="1"/>
  <c r="D39" i="1"/>
  <c r="D49" i="1"/>
  <c r="D33" i="1"/>
  <c r="D17" i="1"/>
  <c r="D51" i="1"/>
  <c r="G11" i="1" l="1"/>
  <c r="G10" i="1"/>
  <c r="G3" i="1"/>
  <c r="M8" i="1"/>
  <c r="G56" i="1"/>
  <c r="G41" i="1"/>
  <c r="G42" i="1"/>
  <c r="G43" i="1"/>
  <c r="G18" i="1"/>
  <c r="G16" i="1"/>
  <c r="G5" i="1"/>
  <c r="M14" i="1"/>
  <c r="G6" i="1"/>
  <c r="M15" i="1"/>
  <c r="G8" i="1"/>
  <c r="M18" i="1"/>
  <c r="G9" i="1"/>
  <c r="M19" i="1"/>
  <c r="G7" i="1"/>
  <c r="M16" i="1"/>
  <c r="M20" i="1"/>
  <c r="M6" i="1"/>
  <c r="G12" i="1"/>
  <c r="G2" i="1"/>
  <c r="G4" i="1"/>
  <c r="M10" i="1"/>
  <c r="G28" i="1"/>
  <c r="G14" i="1"/>
  <c r="G17" i="1"/>
  <c r="G13" i="1"/>
  <c r="G40" i="1"/>
  <c r="M4" i="1"/>
  <c r="G15" i="1"/>
  <c r="G46" i="1"/>
  <c r="G23" i="1"/>
  <c r="G35" i="1"/>
  <c r="G51" i="1"/>
  <c r="G29" i="1"/>
  <c r="M11" i="1"/>
  <c r="G55" i="1"/>
  <c r="M7" i="1"/>
  <c r="G24" i="1"/>
  <c r="M12" i="1"/>
  <c r="G47" i="1"/>
  <c r="G20" i="1"/>
  <c r="G52" i="1"/>
  <c r="G30" i="1"/>
  <c r="G36" i="1"/>
  <c r="G25" i="1"/>
  <c r="G19" i="1"/>
  <c r="G39" i="1"/>
  <c r="G48" i="1"/>
  <c r="G53" i="1"/>
  <c r="G31" i="1"/>
  <c r="G21" i="1"/>
  <c r="G26" i="1"/>
  <c r="G38" i="1"/>
  <c r="G37" i="1"/>
  <c r="G54" i="1"/>
  <c r="G32" i="1"/>
  <c r="G50" i="1"/>
  <c r="G44" i="1"/>
  <c r="G45" i="1"/>
  <c r="G49" i="1"/>
  <c r="G27" i="1"/>
  <c r="M3" i="1"/>
  <c r="G34" i="1"/>
  <c r="M2" i="1"/>
  <c r="G33" i="1"/>
  <c r="G22" i="1"/>
</calcChain>
</file>

<file path=xl/sharedStrings.xml><?xml version="1.0" encoding="utf-8"?>
<sst xmlns="http://schemas.openxmlformats.org/spreadsheetml/2006/main" count="91" uniqueCount="53">
  <si>
    <t xml:space="preserve"> INNOVATIVE CONVEYOR SYSTEMS LTD</t>
  </si>
  <si>
    <t>Masked Name</t>
  </si>
  <si>
    <t xml:space="preserve"> SOUTH AUCKLAND ENGINEERING</t>
  </si>
  <si>
    <t>Customer 5</t>
  </si>
  <si>
    <t>Customer 7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</si>
  <si>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</si>
  <si>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</si>
  <si>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</si>
  <si>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</si>
  <si>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</si>
  <si>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</si>
  <si>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</si>
  <si>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</si>
  <si>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</si>
  <si>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</si>
  <si>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</si>
  <si>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</si>
  <si>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</si>
  <si>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</si>
  <si>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 xml:space="preserve"> VERTEX ENGINEERS LTD</t>
  </si>
  <si>
    <t>Customer 6</t>
  </si>
  <si>
    <t xml:space="preserve"> GEA MILFOS INTERNATIONAL LTD</t>
  </si>
  <si>
    <t>Customer 8</t>
  </si>
  <si>
    <t>Customer 1</t>
  </si>
  <si>
    <t>Customer 2</t>
  </si>
  <si>
    <t>Customer 3</t>
  </si>
  <si>
    <t>Customer 4</t>
  </si>
  <si>
    <t>Trimmed Customer Names</t>
  </si>
  <si>
    <t>Raw Customer Names</t>
  </si>
  <si>
    <t xml:space="preserve"> GEA NEW ZEALAND LIMITED</t>
  </si>
  <si>
    <t xml:space="preserve"> KENNTEC</t>
  </si>
  <si>
    <t xml:space="preserve"> ATI ENGINEERING LTD</t>
  </si>
  <si>
    <t xml:space="preserve"> MILLS FOOD &amp; DAIRY LIMITED</t>
  </si>
  <si>
    <t xml:space="preserve"> LEIGH PRODUCT DEVELOPMENT LTD</t>
  </si>
  <si>
    <t xml:space="preserve"> E &amp; H ENGINEERING</t>
  </si>
  <si>
    <t xml:space="preserve"> TRUWELD ENGINEERING</t>
  </si>
  <si>
    <t xml:space="preserve"> KANDO INNOVATION LIMITED</t>
  </si>
  <si>
    <t xml:space="preserve"> IMPACT ENGINEERING LIMITED</t>
  </si>
  <si>
    <t xml:space="preserve"> THERMAFLOW LIMITED</t>
  </si>
  <si>
    <t xml:space="preserve"> WHAKATANE PRECAST LIMITED</t>
  </si>
  <si>
    <t xml:space="preserve"> FORTRESS TECHNOLOGY NZ LTD</t>
  </si>
  <si>
    <t xml:space="preserve"> ADVANCED ENGINEERING SOLUTIONS LIMITED</t>
  </si>
  <si>
    <t xml:space="preserve"> ARCWELL ENGINEERING LTD</t>
  </si>
  <si>
    <t xml:space="preserve"> ENGEL FIRES LTD</t>
  </si>
  <si>
    <t xml:space="preserve"> PRIME WOOD CABINETRY - CASH SALE</t>
  </si>
  <si>
    <t xml:space="preserve"> STAFF ACCOUNT</t>
  </si>
  <si>
    <t xml:space="preserve"> VERTEX ENGINEERS LTD </t>
  </si>
  <si>
    <t xml:space="preserve"> WADE GROUP 2011 LTD</t>
  </si>
  <si>
    <t>By Value (NZD) | Orders</t>
  </si>
  <si>
    <t>Leaderboard By Count | Orders</t>
  </si>
  <si>
    <t>By Time | Orders</t>
  </si>
  <si>
    <t>Leaderboard By Value | Quotes</t>
  </si>
  <si>
    <t>By Time | Quotes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</si>
</sst>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409]d\-mmm\-yy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Garamond"/>
      <family val="1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9" fontId="4" fillId="0" borderId="0"/>
    <xf numFmtId="44" fontId="4" fillId="0" borderId="0"/>
    <xf numFmtId="43" fontId="4" fillId="0" borderId="0"/>
    <xf numFmtId="44" fontId="4" fillId="0" borderId="0"/>
    <xf numFmtId="43" fontId="4" fillId="0" borderId="0"/>
    <xf numFmtId="44" fontId="4" fillId="0" borderId="0"/>
    <xf numFmtId="43" fontId="4" fillId="0" borderId="0"/>
    <xf numFmtId="44" fontId="4" fillId="0" borderId="0"/>
    <xf numFmtId="43" fontId="4" fillId="0" borderId="0"/>
    <xf numFmtId="44" fontId="4" fillId="0" borderId="0"/>
    <xf numFmtId="43" fontId="4" fillId="0" borderId="0"/>
    <xf numFmtId="44" fontId="4" fillId="0" borderId="0"/>
    <xf numFmtId="43" fontId="4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/>
    </xf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0" xfId="0"/>
    <xf numFmtId="0" fontId="0" fillId="0" borderId="0" xfId="0"/>
    <xf numFmtId="10" fontId="5" fillId="0" borderId="0" xfId="0" applyNumberFormat="1" applyFont="1" applyAlignment="1">
      <alignment horizontal="right" vertical="center"/>
    </xf>
    <xf numFmtId="0" fontId="6" fillId="0" borderId="0" xfId="0" applyFont="1"/>
    <xf numFmtId="0" fontId="0" fillId="0" borderId="0" xfId="0"/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1" fillId="0" borderId="2" xfId="0" applyFont="1" applyBorder="1"/>
    <xf numFmtId="0" fontId="0" fillId="0" borderId="2" xfId="0" applyBorder="1"/>
    <xf numFmtId="0" fontId="0" fillId="0" borderId="0" xfId="0"/>
    <xf numFmtId="0" fontId="0" fillId="0" borderId="0" xfId="0"/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1" fillId="0" borderId="0" xfId="0" applyFont="1"/>
  </cellXfs>
  <cellStyles count="14">
    <cellStyle name="Comma 2" xfId="3" xr:uid="{578DD85B-3D62-4F03-90AE-DD89278A862B}"/>
    <cellStyle name="Comma 3" xfId="5" xr:uid="{D636997A-DFF7-443E-95F6-E34F5C6406A4}"/>
    <cellStyle name="Comma 4" xfId="7" xr:uid="{520D66F9-47A7-45E1-B256-0DAD907E975C}"/>
    <cellStyle name="Comma 5" xfId="9" xr:uid="{20589BE3-9F11-478A-A24D-241651A689E5}"/>
    <cellStyle name="Comma 6" xfId="11" xr:uid="{ABEFEF7C-7039-4A9C-A66A-3EF12537382B}"/>
    <cellStyle name="Comma 7" xfId="13" xr:uid="{E581FC96-2054-45AF-9D5C-CD21F73246A5}"/>
    <cellStyle name="Currency 2" xfId="2" xr:uid="{E2ABBACD-5BB6-4EA1-A96F-9F8047960ED6}"/>
    <cellStyle name="Currency 3" xfId="4" xr:uid="{8A182BAC-3FA1-4DF6-BF36-C19A14AFC4AC}"/>
    <cellStyle name="Currency 4" xfId="6" xr:uid="{E34A3329-6579-45F2-869A-552401780310}"/>
    <cellStyle name="Currency 5" xfId="8" xr:uid="{F3725FE9-DF31-426C-B648-EE07EB381B59}"/>
    <cellStyle name="Currency 6" xfId="10" xr:uid="{097C8D67-F630-4AA8-85FE-65B1C0363A9C}"/>
    <cellStyle name="Currency 7" xfId="12" xr:uid="{7FCCB21F-DD30-4EF4-A585-7C9C5718FBDA}"/>
    <cellStyle name="Normal" xfId="0" builtinId="0"/>
    <cellStyle name="Percent 2" xfId="1" xr:uid="{C0FEA089-3914-4B99-92A2-1B0FEFDEED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6312-C462-4932-9130-923AD6CE3CB5}">
  <dimension ref="A1:O56"/>
  <sheetViews>
    <sheetView tabSelected="1" topLeftCell="B1" workbookViewId="0">
      <selection activeCell="M18" sqref="M18:M20"/>
    </sheetView>
  </sheetViews>
  <sheetFormatPr defaultRowHeight="14.5" x14ac:dyDescent="0.35"/>
  <cols>
    <col min="1" max="1" width="9.36328125" bestFit="1" customWidth="1"/>
    <col min="2" max="2" width="41.08984375" customWidth="1"/>
    <col min="3" max="3" width="41.08984375" style="11" customWidth="1"/>
    <col min="4" max="4" width="12.54296875" bestFit="1" customWidth="1"/>
    <col min="5" max="5" width="10.1796875" customWidth="1"/>
    <col min="6" max="6" width="12.54296875" bestFit="1" customWidth="1"/>
    <col min="12" max="12" width="13" bestFit="1" customWidth="1"/>
    <col min="13" max="13" width="24.6328125" bestFit="1" customWidth="1"/>
    <col min="14" max="14" width="5.90625" bestFit="1" customWidth="1"/>
  </cols>
  <sheetData>
    <row r="1" spans="1:15" x14ac:dyDescent="0.35">
      <c r="A1" s="2">
        <v>46169</v>
      </c>
      <c r="B1" s="4" t="s">
        <v>28</v>
      </c>
      <c r="C1" s="13" t="s">
        <v>27</v>
      </c>
      <c r="D1" s="4" t="s">
        <v>1</v>
      </c>
      <c r="L1" s="15" t="s">
        <v>49</v>
      </c>
      <c r="M1" s="16"/>
    </row>
    <row r="2" spans="1:15" x14ac:dyDescent="0.35">
      <c r="A2" s="3">
        <v>1</v>
      </c>
      <c r="B2" s="1" t="s">
        <v>35</v>
      </c>
      <c r="C2" s="14" t="str">
        <f>TRIM(B2)</f>
        <v>TRUWELD ENGINEERING</v>
      </c>
      <c r="D2" s="5" t="str">
        <f>"Customer "&amp;MATCH(C2,_xlfn.UNIQUE($C$2:$C$56),0)</f>
        <v>Customer 1</v>
      </c>
      <c r="F2" s="10" t="s">
        <v>23</v>
      </c>
      <c r="G2" t="str">
        <f>_xlfn.XLOOKUP(F2,$D:$D,$C:$C,"Not found")</f>
        <v>TRUWELD ENGINEERING</v>
      </c>
      <c r="L2" s="17" t="s">
        <v>10</v>
      </c>
      <c r="M2" s="11" t="str">
        <f>_xlfn.XLOOKUP(L2,$D:$D,$C:$C,"Not found")</f>
        <v>VERTEX ENGINEERS LTD</v>
      </c>
      <c r="N2" s="8"/>
    </row>
    <row r="3" spans="1:15" x14ac:dyDescent="0.35">
      <c r="A3" s="3">
        <v>2</v>
      </c>
      <c r="B3" s="1" t="s">
        <v>38</v>
      </c>
      <c r="C3" s="14" t="str">
        <f t="shared" ref="C3:C50" si="0">TRIM(B3)</f>
        <v>THERMAFLOW LIMITED</v>
      </c>
      <c r="D3" s="12" t="str">
        <f t="shared" ref="D3:D55" si="1">"Customer "&amp;MATCH(C3,_xlfn.UNIQUE($C$2:$C$56),0)</f>
        <v>Customer 2</v>
      </c>
      <c r="F3" s="10" t="s">
        <v>24</v>
      </c>
      <c r="G3" s="11" t="str">
        <f t="shared" ref="G3:G43" si="2">_xlfn.XLOOKUP(F3,$D:$D,$C:$C,"Not found")</f>
        <v>THERMAFLOW LIMITED</v>
      </c>
      <c r="L3" s="17" t="s">
        <v>12</v>
      </c>
      <c r="M3" s="11" t="str">
        <f t="shared" ref="M3:M4" si="3">_xlfn.XLOOKUP(L3,$D:$D,$C:$C,"Not found")</f>
        <v>ATI ENGINEERING LTD</v>
      </c>
      <c r="N3" s="8"/>
    </row>
    <row r="4" spans="1:15" x14ac:dyDescent="0.35">
      <c r="A4" s="19">
        <v>3</v>
      </c>
      <c r="B4" s="20" t="s">
        <v>39</v>
      </c>
      <c r="C4" s="20" t="str">
        <f t="shared" si="0"/>
        <v>WHAKATANE PRECAST LIMITED</v>
      </c>
      <c r="D4" s="21" t="str">
        <f t="shared" si="1"/>
        <v>Customer 3</v>
      </c>
      <c r="F4" s="10" t="s">
        <v>25</v>
      </c>
      <c r="G4" s="11" t="str">
        <f t="shared" si="2"/>
        <v>WHAKATANE PRECAST LIMITED</v>
      </c>
      <c r="L4" s="17" t="s">
        <v>17</v>
      </c>
      <c r="M4" s="11" t="str">
        <f t="shared" si="3"/>
        <v>E &amp; H ENGINEERING</v>
      </c>
      <c r="N4" s="8"/>
    </row>
    <row r="5" spans="1:15" x14ac:dyDescent="0.35">
      <c r="A5" s="3">
        <v>4</v>
      </c>
      <c r="B5" s="1" t="s">
        <v>40</v>
      </c>
      <c r="C5" s="14" t="str">
        <f t="shared" si="0"/>
        <v>FORTRESS TECHNOLOGY NZ LTD</v>
      </c>
      <c r="D5" s="12" t="str">
        <f t="shared" si="1"/>
        <v>Customer 4</v>
      </c>
      <c r="F5" s="10" t="s">
        <v>26</v>
      </c>
      <c r="G5" s="11" t="str">
        <f t="shared" si="2"/>
        <v>FORTRESS TECHNOLOGY NZ LTD</v>
      </c>
      <c r="L5" s="22" t="s">
        <v>48</v>
      </c>
      <c r="M5" s="11"/>
      <c r="N5" s="11"/>
      <c r="O5" s="11"/>
    </row>
    <row r="6" spans="1:15" x14ac:dyDescent="0.35">
      <c r="A6" s="19">
        <v>5</v>
      </c>
      <c r="B6" s="20" t="s">
        <v>29</v>
      </c>
      <c r="C6" s="20" t="str">
        <f t="shared" si="0"/>
        <v>GEA NEW ZEALAND LIMITED</v>
      </c>
      <c r="D6" s="21" t="str">
        <f t="shared" si="1"/>
        <v>Customer 5</v>
      </c>
      <c r="F6" s="6" t="s">
        <v>3</v>
      </c>
      <c r="G6" s="11" t="str">
        <f t="shared" si="2"/>
        <v>GEA NEW ZEALAND LIMITED</v>
      </c>
      <c r="L6" s="18" t="s">
        <v>7</v>
      </c>
      <c r="M6" s="18" t="str">
        <f>_xlfn.XLOOKUP(L6,$D:$D,$C:$C,"Not found")</f>
        <v>KENNTEC</v>
      </c>
      <c r="N6" s="11"/>
      <c r="O6" s="11"/>
    </row>
    <row r="7" spans="1:15" x14ac:dyDescent="0.35">
      <c r="A7" s="3">
        <v>6</v>
      </c>
      <c r="B7" s="1" t="s">
        <v>33</v>
      </c>
      <c r="C7" s="14" t="str">
        <f t="shared" si="0"/>
        <v>LEIGH PRODUCT DEVELOPMENT LTD</v>
      </c>
      <c r="D7" s="12" t="str">
        <f t="shared" si="1"/>
        <v>Customer 6</v>
      </c>
      <c r="F7" s="6" t="s">
        <v>20</v>
      </c>
      <c r="G7" s="11" t="str">
        <f t="shared" si="2"/>
        <v>LEIGH PRODUCT DEVELOPMENT LTD</v>
      </c>
      <c r="L7" s="18" t="s">
        <v>9</v>
      </c>
      <c r="M7" s="18" t="str">
        <f t="shared" ref="M7:M8" si="4">_xlfn.XLOOKUP(L7,$D:$D,$C:$C,"Not found")</f>
        <v>INNOVATIVE CONVEYOR SYSTEMS LTD</v>
      </c>
      <c r="N7" s="11"/>
      <c r="O7" s="11"/>
    </row>
    <row r="8" spans="1:15" x14ac:dyDescent="0.35">
      <c r="A8" s="3">
        <v>7</v>
      </c>
      <c r="B8" s="1" t="s">
        <v>41</v>
      </c>
      <c r="C8" s="14" t="str">
        <f t="shared" si="0"/>
        <v>ADVANCED ENGINEERING SOLUTIONS LIMITED</v>
      </c>
      <c r="D8" s="12" t="str">
        <f t="shared" si="1"/>
        <v>Customer 7</v>
      </c>
      <c r="F8" t="s">
        <v>4</v>
      </c>
      <c r="G8" s="11" t="str">
        <f t="shared" si="2"/>
        <v>ADVANCED ENGINEERING SOLUTIONS LIMITED</v>
      </c>
      <c r="L8" s="18" t="s">
        <v>10</v>
      </c>
      <c r="M8" s="18" t="str">
        <f t="shared" si="4"/>
        <v>VERTEX ENGINEERS LTD</v>
      </c>
      <c r="N8" s="11"/>
      <c r="O8" s="11"/>
    </row>
    <row r="9" spans="1:15" x14ac:dyDescent="0.35">
      <c r="A9" s="19">
        <v>8</v>
      </c>
      <c r="B9" s="20" t="s">
        <v>42</v>
      </c>
      <c r="C9" s="20" t="str">
        <f t="shared" si="0"/>
        <v>ARCWELL ENGINEERING LTD</v>
      </c>
      <c r="D9" s="21" t="str">
        <f t="shared" si="1"/>
        <v>Customer 8</v>
      </c>
      <c r="F9" t="s">
        <v>22</v>
      </c>
      <c r="G9" s="11" t="str">
        <f t="shared" si="2"/>
        <v>ARCWELL ENGINEERING LTD</v>
      </c>
      <c r="L9" s="22" t="s">
        <v>50</v>
      </c>
    </row>
    <row r="10" spans="1:15" x14ac:dyDescent="0.35">
      <c r="A10" s="3">
        <v>9</v>
      </c>
      <c r="B10" s="1" t="s">
        <v>38</v>
      </c>
      <c r="C10" s="14" t="str">
        <f t="shared" si="0"/>
        <v>THERMAFLOW LIMITED</v>
      </c>
      <c r="D10" s="12" t="str">
        <f t="shared" si="1"/>
        <v>Customer 2</v>
      </c>
      <c r="F10" t="s">
        <v>24</v>
      </c>
      <c r="G10" s="11" t="str">
        <f t="shared" si="2"/>
        <v>THERMAFLOW LIMITED</v>
      </c>
      <c r="L10" t="s">
        <v>10</v>
      </c>
      <c r="M10" s="18" t="str">
        <f>_xlfn.XLOOKUP(L10,$D:$D,$C:$C,"Not found")</f>
        <v>VERTEX ENGINEERS LTD</v>
      </c>
    </row>
    <row r="11" spans="1:15" x14ac:dyDescent="0.35">
      <c r="A11" s="19">
        <v>10</v>
      </c>
      <c r="B11" s="20" t="s">
        <v>43</v>
      </c>
      <c r="C11" s="20" t="str">
        <f t="shared" si="0"/>
        <v>ENGEL FIRES LTD</v>
      </c>
      <c r="D11" s="21" t="str">
        <f t="shared" si="1"/>
        <v>Customer 9</v>
      </c>
      <c r="F11" t="s">
        <v>6</v>
      </c>
      <c r="G11" s="11" t="str">
        <f t="shared" si="2"/>
        <v>SOUTH AUCKLAND ENGINEERING</v>
      </c>
      <c r="L11" t="s">
        <v>9</v>
      </c>
      <c r="M11" s="18" t="str">
        <f t="shared" ref="M11:M12" si="5">_xlfn.XLOOKUP(L11,$D:$D,$C:$C,"Not found")</f>
        <v>INNOVATIVE CONVEYOR SYSTEMS LTD</v>
      </c>
    </row>
    <row r="12" spans="1:15" x14ac:dyDescent="0.35">
      <c r="A12" s="3">
        <v>11</v>
      </c>
      <c r="B12" s="1" t="s">
        <v>43</v>
      </c>
      <c r="C12" s="14" t="str">
        <f t="shared" si="0"/>
        <v>ENGEL FIRES LTD</v>
      </c>
      <c r="D12" s="12" t="str">
        <f t="shared" si="1"/>
        <v>Customer 9</v>
      </c>
      <c r="F12" t="s">
        <v>7</v>
      </c>
      <c r="G12" s="11" t="str">
        <f t="shared" si="2"/>
        <v>KENNTEC</v>
      </c>
      <c r="L12" t="s">
        <v>17</v>
      </c>
      <c r="M12" s="18" t="str">
        <f t="shared" si="5"/>
        <v>E &amp; H ENGINEERING</v>
      </c>
    </row>
    <row r="13" spans="1:15" x14ac:dyDescent="0.35">
      <c r="A13" s="3">
        <v>12</v>
      </c>
      <c r="B13" s="1" t="s">
        <v>2</v>
      </c>
      <c r="C13" s="14" t="str">
        <f t="shared" si="0"/>
        <v>SOUTH AUCKLAND ENGINEERING</v>
      </c>
      <c r="D13" s="12" t="str">
        <f t="shared" si="1"/>
        <v>Customer 10</v>
      </c>
      <c r="F13" t="s">
        <v>8</v>
      </c>
      <c r="G13" s="11" t="str">
        <f t="shared" si="2"/>
        <v>PRIME WOOD CABINETRY - CASH SALE</v>
      </c>
      <c r="L13" s="15" t="s">
        <v>51</v>
      </c>
    </row>
    <row r="14" spans="1:15" x14ac:dyDescent="0.35">
      <c r="A14" s="19">
        <v>13</v>
      </c>
      <c r="B14" s="20" t="s">
        <v>30</v>
      </c>
      <c r="C14" s="20" t="str">
        <f t="shared" si="0"/>
        <v>KENNTEC</v>
      </c>
      <c r="D14" s="21" t="str">
        <f t="shared" si="1"/>
        <v>Customer 11</v>
      </c>
      <c r="F14" t="s">
        <v>9</v>
      </c>
      <c r="G14" s="11" t="str">
        <f t="shared" si="2"/>
        <v>INNOVATIVE CONVEYOR SYSTEMS LTD</v>
      </c>
      <c r="L14" t="s">
        <v>5</v>
      </c>
      <c r="M14" s="18" t="str">
        <f>_xlfn.XLOOKUP(L14,$D:$D,$C:$C,"Not found")</f>
        <v>ENGEL FIRES LTD</v>
      </c>
    </row>
    <row r="15" spans="1:15" x14ac:dyDescent="0.35">
      <c r="A15" s="3">
        <v>14</v>
      </c>
      <c r="B15" s="1" t="s">
        <v>44</v>
      </c>
      <c r="C15" s="14" t="str">
        <f t="shared" si="0"/>
        <v>PRIME WOOD CABINETRY - CASH SALE</v>
      </c>
      <c r="D15" s="12" t="str">
        <f t="shared" si="1"/>
        <v>Customer 12</v>
      </c>
      <c r="F15" t="s">
        <v>10</v>
      </c>
      <c r="G15" s="11" t="str">
        <f t="shared" si="2"/>
        <v>VERTEX ENGINEERS LTD</v>
      </c>
      <c r="L15" t="s">
        <v>20</v>
      </c>
      <c r="M15" s="18" t="str">
        <f t="shared" ref="M15:M16" si="6">_xlfn.XLOOKUP(L15,$D:$D,$C:$C,"Not found")</f>
        <v>LEIGH PRODUCT DEVELOPMENT LTD</v>
      </c>
    </row>
    <row r="16" spans="1:15" x14ac:dyDescent="0.35">
      <c r="A16" s="19">
        <v>15</v>
      </c>
      <c r="B16" s="20" t="s">
        <v>0</v>
      </c>
      <c r="C16" s="20" t="str">
        <f t="shared" si="0"/>
        <v>INNOVATIVE CONVEYOR SYSTEMS LTD</v>
      </c>
      <c r="D16" s="21" t="str">
        <f t="shared" si="1"/>
        <v>Customer 13</v>
      </c>
      <c r="F16" t="s">
        <v>10</v>
      </c>
      <c r="G16" s="11" t="str">
        <f t="shared" si="2"/>
        <v>VERTEX ENGINEERS LTD</v>
      </c>
      <c r="L16" t="s">
        <v>4</v>
      </c>
      <c r="M16" s="18" t="str">
        <f t="shared" si="6"/>
        <v>ADVANCED ENGINEERING SOLUTIONS LIMITED</v>
      </c>
    </row>
    <row r="17" spans="1:13" x14ac:dyDescent="0.35">
      <c r="A17" s="3">
        <v>16</v>
      </c>
      <c r="B17" s="1" t="s">
        <v>19</v>
      </c>
      <c r="C17" s="14" t="str">
        <f t="shared" si="0"/>
        <v>VERTEX ENGINEERS LTD</v>
      </c>
      <c r="D17" s="12" t="str">
        <f t="shared" si="1"/>
        <v>Customer 14</v>
      </c>
      <c r="F17" t="s">
        <v>10</v>
      </c>
      <c r="G17" s="11" t="str">
        <f t="shared" si="2"/>
        <v>VERTEX ENGINEERS LTD</v>
      </c>
      <c r="L17" s="22" t="s">
        <v>52</v>
      </c>
    </row>
    <row r="18" spans="1:13" x14ac:dyDescent="0.35">
      <c r="A18" s="3">
        <v>17</v>
      </c>
      <c r="B18" s="1" t="s">
        <v>19</v>
      </c>
      <c r="C18" s="14" t="str">
        <f t="shared" si="0"/>
        <v>VERTEX ENGINEERS LTD</v>
      </c>
      <c r="D18" s="12" t="str">
        <f t="shared" si="1"/>
        <v>Customer 14</v>
      </c>
      <c r="F18" t="s">
        <v>11</v>
      </c>
      <c r="G18" s="11" t="str">
        <f t="shared" si="2"/>
        <v>KANDO INNOVATION LIMITED</v>
      </c>
      <c r="L18" t="s">
        <v>5</v>
      </c>
      <c r="M18" s="18" t="str">
        <f>_xlfn.XLOOKUP(L18,$D:$D,$C:$C,"Not found")</f>
        <v>ENGEL FIRES LTD</v>
      </c>
    </row>
    <row r="19" spans="1:13" x14ac:dyDescent="0.35">
      <c r="A19" s="19">
        <v>18</v>
      </c>
      <c r="B19" s="20" t="s">
        <v>19</v>
      </c>
      <c r="C19" s="20" t="str">
        <f t="shared" si="0"/>
        <v>VERTEX ENGINEERS LTD</v>
      </c>
      <c r="D19" s="21" t="str">
        <f t="shared" si="1"/>
        <v>Customer 14</v>
      </c>
      <c r="F19" t="s">
        <v>12</v>
      </c>
      <c r="G19" s="11" t="str">
        <f t="shared" si="2"/>
        <v>ATI ENGINEERING LTD</v>
      </c>
      <c r="L19" t="s">
        <v>4</v>
      </c>
      <c r="M19" s="18" t="str">
        <f t="shared" ref="M19:M20" si="7">_xlfn.XLOOKUP(L19,$D:$D,$C:$C,"Not found")</f>
        <v>ADVANCED ENGINEERING SOLUTIONS LIMITED</v>
      </c>
    </row>
    <row r="20" spans="1:13" x14ac:dyDescent="0.35">
      <c r="A20" s="3">
        <v>19</v>
      </c>
      <c r="B20" s="1" t="s">
        <v>36</v>
      </c>
      <c r="C20" s="14" t="str">
        <f t="shared" si="0"/>
        <v>KANDO INNOVATION LIMITED</v>
      </c>
      <c r="D20" s="12" t="str">
        <f t="shared" si="1"/>
        <v>Customer 15</v>
      </c>
      <c r="F20" t="s">
        <v>13</v>
      </c>
      <c r="G20" s="11" t="str">
        <f t="shared" si="2"/>
        <v>MILLS FOOD &amp; DAIRY LIMITED</v>
      </c>
      <c r="L20" t="s">
        <v>20</v>
      </c>
      <c r="M20" s="18" t="str">
        <f t="shared" si="7"/>
        <v>LEIGH PRODUCT DEVELOPMENT LTD</v>
      </c>
    </row>
    <row r="21" spans="1:13" x14ac:dyDescent="0.35">
      <c r="A21" s="19">
        <v>20</v>
      </c>
      <c r="B21" s="20" t="s">
        <v>31</v>
      </c>
      <c r="C21" s="20" t="str">
        <f t="shared" si="0"/>
        <v>ATI ENGINEERING LTD</v>
      </c>
      <c r="D21" s="21" t="str">
        <f t="shared" si="1"/>
        <v>Customer 16</v>
      </c>
      <c r="F21" t="s">
        <v>14</v>
      </c>
      <c r="G21" s="11" t="str">
        <f t="shared" si="2"/>
        <v>IMPACT ENGINEERING LIMITED</v>
      </c>
    </row>
    <row r="22" spans="1:13" x14ac:dyDescent="0.35">
      <c r="A22" s="3">
        <v>21</v>
      </c>
      <c r="B22" s="1" t="s">
        <v>32</v>
      </c>
      <c r="C22" s="14" t="str">
        <f t="shared" si="0"/>
        <v>MILLS FOOD &amp; DAIRY LIMITED</v>
      </c>
      <c r="D22" s="12" t="str">
        <f t="shared" si="1"/>
        <v>Customer 17</v>
      </c>
      <c r="F22" t="s">
        <v>15</v>
      </c>
      <c r="G22" s="11" t="str">
        <f t="shared" si="2"/>
        <v>GEA MILFOS INTERNATIONAL LTD</v>
      </c>
    </row>
    <row r="23" spans="1:13" x14ac:dyDescent="0.35">
      <c r="A23" s="3">
        <v>22</v>
      </c>
      <c r="B23" s="1" t="s">
        <v>37</v>
      </c>
      <c r="C23" s="14" t="str">
        <f t="shared" si="0"/>
        <v>IMPACT ENGINEERING LIMITED</v>
      </c>
      <c r="D23" s="12" t="str">
        <f t="shared" si="1"/>
        <v>Customer 18</v>
      </c>
      <c r="F23" t="s">
        <v>10</v>
      </c>
      <c r="G23" s="11" t="str">
        <f t="shared" si="2"/>
        <v>VERTEX ENGINEERS LTD</v>
      </c>
    </row>
    <row r="24" spans="1:13" x14ac:dyDescent="0.35">
      <c r="A24" s="19">
        <v>23</v>
      </c>
      <c r="B24" s="20" t="s">
        <v>21</v>
      </c>
      <c r="C24" s="20" t="str">
        <f t="shared" si="0"/>
        <v>GEA MILFOS INTERNATIONAL LTD</v>
      </c>
      <c r="D24" s="21" t="str">
        <f t="shared" si="1"/>
        <v>Customer 19</v>
      </c>
      <c r="F24" t="s">
        <v>10</v>
      </c>
      <c r="G24" s="11" t="str">
        <f t="shared" si="2"/>
        <v>VERTEX ENGINEERS LTD</v>
      </c>
    </row>
    <row r="25" spans="1:13" x14ac:dyDescent="0.35">
      <c r="A25" s="3">
        <v>24</v>
      </c>
      <c r="B25" s="1" t="s">
        <v>19</v>
      </c>
      <c r="C25" s="14" t="str">
        <f t="shared" si="0"/>
        <v>VERTEX ENGINEERS LTD</v>
      </c>
      <c r="D25" s="12" t="str">
        <f t="shared" si="1"/>
        <v>Customer 14</v>
      </c>
      <c r="F25" t="s">
        <v>16</v>
      </c>
      <c r="G25" s="11" t="str">
        <f t="shared" si="2"/>
        <v>STAFF ACCOUNT</v>
      </c>
    </row>
    <row r="26" spans="1:13" x14ac:dyDescent="0.35">
      <c r="A26" s="19">
        <v>25</v>
      </c>
      <c r="B26" s="20" t="s">
        <v>19</v>
      </c>
      <c r="C26" s="20" t="str">
        <f t="shared" si="0"/>
        <v>VERTEX ENGINEERS LTD</v>
      </c>
      <c r="D26" s="21" t="str">
        <f t="shared" si="1"/>
        <v>Customer 14</v>
      </c>
      <c r="F26" t="s">
        <v>12</v>
      </c>
      <c r="G26" s="11" t="str">
        <f t="shared" si="2"/>
        <v>ATI ENGINEERING LTD</v>
      </c>
    </row>
    <row r="27" spans="1:13" x14ac:dyDescent="0.35">
      <c r="A27" s="3">
        <v>26</v>
      </c>
      <c r="B27" s="1" t="s">
        <v>45</v>
      </c>
      <c r="C27" s="14" t="str">
        <f t="shared" si="0"/>
        <v>STAFF ACCOUNT</v>
      </c>
      <c r="D27" s="12" t="str">
        <f t="shared" si="1"/>
        <v>Customer 20</v>
      </c>
      <c r="F27" t="s">
        <v>10</v>
      </c>
      <c r="G27" s="11" t="str">
        <f t="shared" si="2"/>
        <v>VERTEX ENGINEERS LTD</v>
      </c>
    </row>
    <row r="28" spans="1:13" x14ac:dyDescent="0.35">
      <c r="A28" s="3">
        <v>27</v>
      </c>
      <c r="B28" s="1" t="s">
        <v>31</v>
      </c>
      <c r="C28" s="14" t="str">
        <f t="shared" si="0"/>
        <v>ATI ENGINEERING LTD</v>
      </c>
      <c r="D28" s="12" t="str">
        <f t="shared" si="1"/>
        <v>Customer 16</v>
      </c>
      <c r="F28" t="s">
        <v>10</v>
      </c>
      <c r="G28" s="11" t="str">
        <f t="shared" si="2"/>
        <v>VERTEX ENGINEERS LTD</v>
      </c>
    </row>
    <row r="29" spans="1:13" x14ac:dyDescent="0.35">
      <c r="A29" s="19">
        <v>28</v>
      </c>
      <c r="B29" s="20" t="s">
        <v>46</v>
      </c>
      <c r="C29" s="20" t="str">
        <f t="shared" si="0"/>
        <v>VERTEX ENGINEERS LTD</v>
      </c>
      <c r="D29" s="21" t="str">
        <f t="shared" si="1"/>
        <v>Customer 14</v>
      </c>
      <c r="F29" t="s">
        <v>17</v>
      </c>
      <c r="G29" s="11" t="str">
        <f t="shared" si="2"/>
        <v>E &amp; H ENGINEERING</v>
      </c>
    </row>
    <row r="30" spans="1:13" x14ac:dyDescent="0.35">
      <c r="A30" s="3">
        <v>29</v>
      </c>
      <c r="B30" s="1" t="s">
        <v>19</v>
      </c>
      <c r="C30" s="14" t="str">
        <f t="shared" si="0"/>
        <v>VERTEX ENGINEERS LTD</v>
      </c>
      <c r="D30" s="12" t="str">
        <f t="shared" si="1"/>
        <v>Customer 14</v>
      </c>
      <c r="F30" t="s">
        <v>17</v>
      </c>
      <c r="G30" s="11" t="str">
        <f t="shared" si="2"/>
        <v>E &amp; H ENGINEERING</v>
      </c>
    </row>
    <row r="31" spans="1:13" x14ac:dyDescent="0.35">
      <c r="A31" s="19">
        <v>30</v>
      </c>
      <c r="B31" s="20" t="s">
        <v>19</v>
      </c>
      <c r="C31" s="20" t="str">
        <f t="shared" si="0"/>
        <v>VERTEX ENGINEERS LTD</v>
      </c>
      <c r="D31" s="21" t="str">
        <f t="shared" si="1"/>
        <v>Customer 14</v>
      </c>
      <c r="F31" t="s">
        <v>18</v>
      </c>
      <c r="G31" s="11" t="str">
        <f t="shared" si="2"/>
        <v>WADE GROUP 2011 LTD</v>
      </c>
    </row>
    <row r="32" spans="1:13" x14ac:dyDescent="0.35">
      <c r="A32" s="3">
        <v>31</v>
      </c>
      <c r="B32" s="1" t="s">
        <v>19</v>
      </c>
      <c r="C32" s="14" t="str">
        <f t="shared" si="0"/>
        <v>VERTEX ENGINEERS LTD</v>
      </c>
      <c r="D32" s="12" t="str">
        <f t="shared" si="1"/>
        <v>Customer 14</v>
      </c>
      <c r="G32" s="11">
        <f t="shared" si="2"/>
        <v>0</v>
      </c>
    </row>
    <row r="33" spans="1:7" x14ac:dyDescent="0.35">
      <c r="A33" s="3">
        <v>32</v>
      </c>
      <c r="B33" s="1" t="s">
        <v>19</v>
      </c>
      <c r="C33" s="14" t="str">
        <f t="shared" si="0"/>
        <v>VERTEX ENGINEERS LTD</v>
      </c>
      <c r="D33" s="12" t="str">
        <f t="shared" si="1"/>
        <v>Customer 14</v>
      </c>
      <c r="G33" s="11">
        <f t="shared" si="2"/>
        <v>0</v>
      </c>
    </row>
    <row r="34" spans="1:7" x14ac:dyDescent="0.35">
      <c r="A34" s="19">
        <v>33</v>
      </c>
      <c r="B34" s="20" t="s">
        <v>19</v>
      </c>
      <c r="C34" s="20" t="str">
        <f t="shared" si="0"/>
        <v>VERTEX ENGINEERS LTD</v>
      </c>
      <c r="D34" s="21" t="str">
        <f t="shared" si="1"/>
        <v>Customer 14</v>
      </c>
      <c r="G34" s="11">
        <f t="shared" si="2"/>
        <v>0</v>
      </c>
    </row>
    <row r="35" spans="1:7" x14ac:dyDescent="0.35">
      <c r="A35" s="3">
        <v>34</v>
      </c>
      <c r="B35" s="1" t="s">
        <v>34</v>
      </c>
      <c r="C35" s="14" t="str">
        <f t="shared" si="0"/>
        <v>E &amp; H ENGINEERING</v>
      </c>
      <c r="D35" s="12" t="str">
        <f t="shared" si="1"/>
        <v>Customer 21</v>
      </c>
      <c r="G35" s="11">
        <f t="shared" si="2"/>
        <v>0</v>
      </c>
    </row>
    <row r="36" spans="1:7" x14ac:dyDescent="0.35">
      <c r="A36" s="19">
        <v>35</v>
      </c>
      <c r="B36" s="20" t="s">
        <v>34</v>
      </c>
      <c r="C36" s="20" t="str">
        <f t="shared" si="0"/>
        <v>E &amp; H ENGINEERING</v>
      </c>
      <c r="D36" s="21" t="str">
        <f t="shared" si="1"/>
        <v>Customer 21</v>
      </c>
      <c r="G36" s="11">
        <f t="shared" si="2"/>
        <v>0</v>
      </c>
    </row>
    <row r="37" spans="1:7" x14ac:dyDescent="0.35">
      <c r="A37" s="3">
        <v>36</v>
      </c>
      <c r="B37" s="1" t="s">
        <v>47</v>
      </c>
      <c r="C37" s="14" t="str">
        <f t="shared" si="0"/>
        <v>WADE GROUP 2011 LTD</v>
      </c>
      <c r="D37" s="12" t="str">
        <f t="shared" si="1"/>
        <v>Customer 22</v>
      </c>
      <c r="G37" s="11">
        <f t="shared" si="2"/>
        <v>0</v>
      </c>
    </row>
    <row r="38" spans="1:7" x14ac:dyDescent="0.35">
      <c r="A38" s="3">
        <v>37</v>
      </c>
      <c r="B38" s="1"/>
      <c r="C38" s="14" t="str">
        <f t="shared" si="0"/>
        <v/>
      </c>
      <c r="D38" s="12" t="str">
        <f t="shared" si="1"/>
        <v>Customer 23</v>
      </c>
      <c r="G38" s="11">
        <f t="shared" si="2"/>
        <v>0</v>
      </c>
    </row>
    <row r="39" spans="1:7" x14ac:dyDescent="0.35">
      <c r="A39" s="19">
        <v>38</v>
      </c>
      <c r="B39" s="20"/>
      <c r="C39" s="20" t="str">
        <f t="shared" si="0"/>
        <v/>
      </c>
      <c r="D39" s="21" t="str">
        <f t="shared" si="1"/>
        <v>Customer 23</v>
      </c>
      <c r="G39" s="11">
        <f t="shared" si="2"/>
        <v>0</v>
      </c>
    </row>
    <row r="40" spans="1:7" x14ac:dyDescent="0.35">
      <c r="A40" s="3">
        <v>39</v>
      </c>
      <c r="B40" s="1"/>
      <c r="C40" s="14" t="str">
        <f t="shared" si="0"/>
        <v/>
      </c>
      <c r="D40" s="12" t="str">
        <f t="shared" si="1"/>
        <v>Customer 23</v>
      </c>
      <c r="G40" s="11">
        <f t="shared" si="2"/>
        <v>0</v>
      </c>
    </row>
    <row r="41" spans="1:7" x14ac:dyDescent="0.35">
      <c r="A41" s="19">
        <v>40</v>
      </c>
      <c r="B41" s="20"/>
      <c r="C41" s="20" t="str">
        <f t="shared" si="0"/>
        <v/>
      </c>
      <c r="D41" s="21" t="str">
        <f t="shared" si="1"/>
        <v>Customer 23</v>
      </c>
      <c r="G41" s="18">
        <f t="shared" si="2"/>
        <v>0</v>
      </c>
    </row>
    <row r="42" spans="1:7" x14ac:dyDescent="0.35">
      <c r="A42" s="3">
        <v>41</v>
      </c>
      <c r="B42" s="1"/>
      <c r="C42" s="14" t="str">
        <f t="shared" si="0"/>
        <v/>
      </c>
      <c r="D42" s="12" t="str">
        <f t="shared" si="1"/>
        <v>Customer 23</v>
      </c>
      <c r="G42" s="18">
        <f t="shared" si="2"/>
        <v>0</v>
      </c>
    </row>
    <row r="43" spans="1:7" x14ac:dyDescent="0.35">
      <c r="A43" s="3">
        <v>42</v>
      </c>
      <c r="B43" s="1"/>
      <c r="C43" s="14" t="str">
        <f t="shared" si="0"/>
        <v/>
      </c>
      <c r="D43" s="12" t="str">
        <f t="shared" si="1"/>
        <v>Customer 23</v>
      </c>
      <c r="G43" s="18">
        <f t="shared" si="2"/>
        <v>0</v>
      </c>
    </row>
    <row r="44" spans="1:7" x14ac:dyDescent="0.35">
      <c r="A44" s="19">
        <v>43</v>
      </c>
      <c r="B44" s="20"/>
      <c r="C44" s="20" t="str">
        <f t="shared" si="0"/>
        <v/>
      </c>
      <c r="D44" s="21" t="str">
        <f t="shared" si="1"/>
        <v>Customer 23</v>
      </c>
      <c r="F44" s="11"/>
      <c r="G44" s="11">
        <f t="shared" ref="G44:G56" si="8">_xlfn.XLOOKUP(F44,$D:$D,$C:$C,"Not found")</f>
        <v>0</v>
      </c>
    </row>
    <row r="45" spans="1:7" x14ac:dyDescent="0.35">
      <c r="A45" s="3">
        <v>44</v>
      </c>
      <c r="B45" s="1"/>
      <c r="C45" s="14" t="str">
        <f t="shared" si="0"/>
        <v/>
      </c>
      <c r="D45" s="12" t="str">
        <f t="shared" si="1"/>
        <v>Customer 23</v>
      </c>
      <c r="F45" s="11"/>
      <c r="G45" s="11">
        <f t="shared" si="8"/>
        <v>0</v>
      </c>
    </row>
    <row r="46" spans="1:7" x14ac:dyDescent="0.35">
      <c r="A46" s="19">
        <v>45</v>
      </c>
      <c r="B46" s="20"/>
      <c r="C46" s="20" t="str">
        <f t="shared" si="0"/>
        <v/>
      </c>
      <c r="D46" s="21" t="str">
        <f t="shared" si="1"/>
        <v>Customer 23</v>
      </c>
      <c r="F46" s="11" t="s">
        <v>5</v>
      </c>
      <c r="G46" s="11" t="str">
        <f t="shared" si="8"/>
        <v>ENGEL FIRES LTD</v>
      </c>
    </row>
    <row r="47" spans="1:7" x14ac:dyDescent="0.35">
      <c r="A47" s="3">
        <v>46</v>
      </c>
      <c r="B47" s="1"/>
      <c r="C47" s="14" t="str">
        <f t="shared" si="0"/>
        <v/>
      </c>
      <c r="D47" s="12" t="str">
        <f t="shared" si="1"/>
        <v>Customer 23</v>
      </c>
      <c r="F47" s="9" t="s">
        <v>10</v>
      </c>
      <c r="G47" s="11" t="str">
        <f t="shared" si="8"/>
        <v>VERTEX ENGINEERS LTD</v>
      </c>
    </row>
    <row r="48" spans="1:7" x14ac:dyDescent="0.35">
      <c r="A48" s="3">
        <v>47</v>
      </c>
      <c r="B48" s="1"/>
      <c r="C48" s="14" t="str">
        <f t="shared" si="0"/>
        <v/>
      </c>
      <c r="D48" s="12" t="str">
        <f t="shared" si="1"/>
        <v>Customer 23</v>
      </c>
      <c r="F48" s="9"/>
      <c r="G48" s="11">
        <f t="shared" si="8"/>
        <v>0</v>
      </c>
    </row>
    <row r="49" spans="1:7" x14ac:dyDescent="0.35">
      <c r="A49" s="19">
        <v>48</v>
      </c>
      <c r="B49" s="20"/>
      <c r="C49" s="20" t="str">
        <f t="shared" si="0"/>
        <v/>
      </c>
      <c r="D49" s="21" t="str">
        <f t="shared" si="1"/>
        <v>Customer 23</v>
      </c>
      <c r="F49" s="7"/>
      <c r="G49" s="11">
        <f t="shared" si="8"/>
        <v>0</v>
      </c>
    </row>
    <row r="50" spans="1:7" x14ac:dyDescent="0.35">
      <c r="A50" s="3">
        <v>49</v>
      </c>
      <c r="B50" s="12"/>
      <c r="C50" s="14" t="str">
        <f t="shared" si="0"/>
        <v/>
      </c>
      <c r="D50" s="12" t="str">
        <f t="shared" si="1"/>
        <v>Customer 23</v>
      </c>
      <c r="G50" s="11">
        <f t="shared" si="8"/>
        <v>0</v>
      </c>
    </row>
    <row r="51" spans="1:7" x14ac:dyDescent="0.35">
      <c r="A51" s="19">
        <v>50</v>
      </c>
      <c r="B51" s="21"/>
      <c r="C51" s="20" t="str">
        <f t="shared" ref="C51:C55" si="9">TRIM(B51)</f>
        <v/>
      </c>
      <c r="D51" s="21" t="str">
        <f t="shared" si="1"/>
        <v>Customer 23</v>
      </c>
      <c r="G51" s="11">
        <f t="shared" si="8"/>
        <v>0</v>
      </c>
    </row>
    <row r="52" spans="1:7" x14ac:dyDescent="0.35">
      <c r="A52" s="3">
        <v>51</v>
      </c>
      <c r="B52" s="12"/>
      <c r="C52" s="14" t="str">
        <f t="shared" si="9"/>
        <v/>
      </c>
      <c r="D52" s="12" t="str">
        <f t="shared" si="1"/>
        <v>Customer 23</v>
      </c>
      <c r="G52" s="11">
        <f t="shared" si="8"/>
        <v>0</v>
      </c>
    </row>
    <row r="53" spans="1:7" x14ac:dyDescent="0.35">
      <c r="A53" s="3">
        <v>52</v>
      </c>
      <c r="B53" s="12"/>
      <c r="C53" s="14" t="str">
        <f t="shared" si="9"/>
        <v/>
      </c>
      <c r="D53" s="12" t="str">
        <f t="shared" si="1"/>
        <v>Customer 23</v>
      </c>
      <c r="G53" s="11">
        <f t="shared" si="8"/>
        <v>0</v>
      </c>
    </row>
    <row r="54" spans="1:7" x14ac:dyDescent="0.35">
      <c r="A54" s="19">
        <v>53</v>
      </c>
      <c r="B54" s="21"/>
      <c r="C54" s="20" t="str">
        <f t="shared" si="9"/>
        <v/>
      </c>
      <c r="D54" s="21" t="str">
        <f t="shared" si="1"/>
        <v>Customer 23</v>
      </c>
      <c r="G54" s="11">
        <f t="shared" si="8"/>
        <v>0</v>
      </c>
    </row>
    <row r="55" spans="1:7" x14ac:dyDescent="0.35">
      <c r="A55" s="3">
        <v>54</v>
      </c>
      <c r="B55" s="12"/>
      <c r="C55" s="14" t="str">
        <f t="shared" si="9"/>
        <v/>
      </c>
      <c r="D55" s="12" t="str">
        <f t="shared" si="1"/>
        <v>Customer 23</v>
      </c>
      <c r="G55" s="11">
        <f t="shared" si="8"/>
        <v>0</v>
      </c>
    </row>
    <row r="56" spans="1:7" x14ac:dyDescent="0.35">
      <c r="G56" s="18">
        <f t="shared" si="8"/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Ataul Morshed</dc:creator>
  <cp:lastModifiedBy>Ataul Morshed</cp:lastModifiedBy>
  <dcterms:created xsi:type="dcterms:W3CDTF">2026-05-19T02:11:22Z</dcterms:created>
  <dcterms:modified xsi:type="dcterms:W3CDTF">2026-05-28T02:19:41Z</dcterms:modified>
</cp:coreProperties>
</file>