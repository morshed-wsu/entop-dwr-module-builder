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Ex5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6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7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0f6840b883d0bb0/pi/2026/SDL DWR Engine/templates/"/>
    </mc:Choice>
  </mc:AlternateContent>
  <xr:revisionPtr revIDLastSave="9" documentId="8_{7EA10989-4325-4973-BFE3-848CFFB6BE13}" xr6:coauthVersionLast="47" xr6:coauthVersionMax="47" xr10:uidLastSave="{D8744189-A545-40EF-A89D-8B1441DA8105}"/>
  <bookViews>
    <workbookView xWindow="-110" yWindow="-110" windowWidth="19420" windowHeight="11620" activeTab="1" xr2:uid="{00000000-000D-0000-FFFF-FFFF00000000}"/>
  </bookViews>
  <sheets>
    <sheet name="Summary" sheetId="1" r:id="rId1"/>
    <sheet name="Production_Center" sheetId="9" r:id="rId2"/>
    <sheet name="Sheet1" sheetId="8" r:id="rId3"/>
    <sheet name="Summary_Charts" sheetId="10" r:id="rId4"/>
    <sheet name="Descriptive_Stats" sheetId="11" r:id="rId5"/>
  </sheets>
  <definedNames>
    <definedName name="_xlnm._FilterDatabase" localSheetId="1" hidden="1">Production_Center!$A$1:$AF$115</definedName>
    <definedName name="_xlchart.v1.0" hidden="1">Summary_Charts!$Y$22:$Y$32</definedName>
    <definedName name="_xlchart.v1.1" hidden="1">Summary_Charts!$Z$21</definedName>
    <definedName name="_xlchart.v1.10" hidden="1">Summary_Charts!$O$21</definedName>
    <definedName name="_xlchart.v1.11" hidden="1">Summary_Charts!$O$22:$O$57</definedName>
    <definedName name="_xlchart.v1.12" hidden="1">Descriptive_Stats!$I$7:$I$7</definedName>
    <definedName name="_xlchart.v1.13" hidden="1">Descriptive_Stats!$P$7:$P$42</definedName>
    <definedName name="_xlchart.v1.14" hidden="1">Descriptive_Stats!$Q$6</definedName>
    <definedName name="_xlchart.v1.15" hidden="1">Descriptive_Stats!$Q$7:$Q$42</definedName>
    <definedName name="_xlchart.v1.16" hidden="1">Descriptive_Stats!$L$7:$L$42</definedName>
    <definedName name="_xlchart.v1.17" hidden="1">Descriptive_Stats!$M$6</definedName>
    <definedName name="_xlchart.v1.18" hidden="1">Descriptive_Stats!$M$7:$M$42</definedName>
    <definedName name="_xlchart.v1.2" hidden="1">Summary_Charts!$Z$22:$Z$32</definedName>
    <definedName name="_xlchart.v1.3" hidden="1">Summary_Charts!$U$22:$U$57</definedName>
    <definedName name="_xlchart.v1.4" hidden="1">Summary_Charts!$V$21</definedName>
    <definedName name="_xlchart.v1.5" hidden="1">Summary_Charts!$V$22:$V$57</definedName>
    <definedName name="_xlchart.v1.6" hidden="1">Summary_Charts!$W$22:$W$46</definedName>
    <definedName name="_xlchart.v1.7" hidden="1">Summary_Charts!$X$21</definedName>
    <definedName name="_xlchart.v1.8" hidden="1">Summary_Charts!$X$22:$X$46</definedName>
    <definedName name="_xlchart.v1.9" hidden="1">Summary_Charts!$N$22:$N$57</definedName>
    <definedName name="difficulty_level">Production_Center!$AF$21:$AF$23</definedName>
    <definedName name="team_members">Production_Center!$AF$8:$AF$16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9" l="1"/>
  <c r="G56" i="9" s="1"/>
  <c r="J56" i="9" a="1"/>
  <c r="J56" i="9" s="1"/>
  <c r="F57" i="9"/>
  <c r="G57" i="9" s="1"/>
  <c r="F12" i="9"/>
  <c r="G12" i="9" s="1"/>
  <c r="I12" i="9" a="1"/>
  <c r="I12" i="9" s="1"/>
  <c r="J12" i="9" a="1"/>
  <c r="J12" i="9" s="1"/>
  <c r="F13" i="9"/>
  <c r="G13" i="9"/>
  <c r="H13" i="9"/>
  <c r="I13" i="9" a="1"/>
  <c r="I13" i="9" s="1"/>
  <c r="J13" i="9" a="1"/>
  <c r="J13" i="9" s="1"/>
  <c r="F14" i="9"/>
  <c r="H14" i="9" s="1"/>
  <c r="G14" i="9"/>
  <c r="J11" i="9" a="1"/>
  <c r="J11" i="9" s="1"/>
  <c r="I11" i="9" a="1"/>
  <c r="I11" i="9" s="1"/>
  <c r="F8" i="9"/>
  <c r="F9" i="9" s="1"/>
  <c r="F10" i="9" s="1"/>
  <c r="F11" i="9" s="1"/>
  <c r="N112" i="9" a="1"/>
  <c r="N112" i="9" s="1"/>
  <c r="N113" i="9" a="1"/>
  <c r="N113" i="9" s="1"/>
  <c r="G11" i="9"/>
  <c r="H11" i="9"/>
  <c r="F58" i="9" l="1"/>
  <c r="J57" i="9" a="1"/>
  <c r="J57" i="9" s="1"/>
  <c r="I57" i="9" a="1"/>
  <c r="I57" i="9" s="1"/>
  <c r="H57" i="9"/>
  <c r="I56" i="9" a="1"/>
  <c r="I56" i="9" s="1"/>
  <c r="H56" i="9"/>
  <c r="H12" i="9"/>
  <c r="J14" i="9" a="1"/>
  <c r="J14" i="9" s="1"/>
  <c r="I14" i="9" a="1"/>
  <c r="I14" i="9" s="1"/>
  <c r="F15" i="9"/>
  <c r="AB57" i="10" a="1"/>
  <c r="AB47" i="10" a="1"/>
  <c r="AB27" i="10" a="1"/>
  <c r="AB6" i="10" a="1"/>
  <c r="G6" i="10" a="1"/>
  <c r="G6" i="10" s="1"/>
  <c r="F6" i="10" a="1"/>
  <c r="F6" i="10" s="1"/>
  <c r="C7" i="10"/>
  <c r="B7" i="10"/>
  <c r="C6" i="10"/>
  <c r="B6" i="10"/>
  <c r="P10" i="8"/>
  <c r="P9" i="8"/>
  <c r="P8" i="8"/>
  <c r="P7" i="8"/>
  <c r="R2" i="8" s="1" a="1"/>
  <c r="R2" i="8" s="1"/>
  <c r="P6" i="8"/>
  <c r="P5" i="8"/>
  <c r="P4" i="8"/>
  <c r="P3" i="8"/>
  <c r="P2" i="8"/>
  <c r="AC115" i="9"/>
  <c r="F115" i="9" a="1"/>
  <c r="F115" i="9" s="1"/>
  <c r="A19" i="1" s="1"/>
  <c r="M114" i="9" a="1"/>
  <c r="M114" i="9" s="1"/>
  <c r="N114" i="9" s="1" a="1"/>
  <c r="N114" i="9" s="1"/>
  <c r="K114" i="9" a="1"/>
  <c r="K114" i="9" s="1"/>
  <c r="I114" i="9" a="1"/>
  <c r="I114" i="9" s="1"/>
  <c r="H114" i="9"/>
  <c r="G114" i="9"/>
  <c r="E114" i="9" a="1"/>
  <c r="E114" i="9" s="1"/>
  <c r="D114" i="9" a="1"/>
  <c r="D114" i="9" s="1"/>
  <c r="C114" i="9" a="1"/>
  <c r="C114" i="9" s="1"/>
  <c r="B114" i="9"/>
  <c r="AB113" i="9"/>
  <c r="Z113" i="9"/>
  <c r="Y113" i="9"/>
  <c r="AA113" i="9" s="1"/>
  <c r="AD113" i="9" s="1"/>
  <c r="K113" i="9" a="1"/>
  <c r="K113" i="9" s="1"/>
  <c r="I13" i="1" s="1"/>
  <c r="I113" i="9" a="1"/>
  <c r="I113" i="9" s="1"/>
  <c r="F13" i="1" s="1"/>
  <c r="E113" i="9" a="1"/>
  <c r="E113" i="9" s="1"/>
  <c r="D13" i="1" s="1"/>
  <c r="D113" i="9" a="1"/>
  <c r="D113" i="9" s="1"/>
  <c r="C13" i="1" s="1"/>
  <c r="C113" i="9" a="1"/>
  <c r="C113" i="9" s="1"/>
  <c r="B13" i="1" s="1"/>
  <c r="B113" i="9"/>
  <c r="K112" i="9" a="1"/>
  <c r="K112" i="9" s="1"/>
  <c r="R13" i="1" s="1"/>
  <c r="I112" i="9" a="1"/>
  <c r="I112" i="9" s="1"/>
  <c r="O13" i="1" s="1"/>
  <c r="E112" i="9" a="1"/>
  <c r="E112" i="9" s="1"/>
  <c r="M13" i="1" s="1"/>
  <c r="D112" i="9" a="1"/>
  <c r="D112" i="9" s="1"/>
  <c r="C112" i="9" a="1"/>
  <c r="C112" i="9" s="1"/>
  <c r="B112" i="9"/>
  <c r="M111" i="9" a="1"/>
  <c r="M111" i="9" s="1"/>
  <c r="N111" i="9" s="1" a="1"/>
  <c r="N111" i="9" s="1"/>
  <c r="K111" i="9" a="1"/>
  <c r="K111" i="9" s="1"/>
  <c r="I111" i="9" a="1"/>
  <c r="I111" i="9" s="1"/>
  <c r="H111" i="9"/>
  <c r="G111" i="9"/>
  <c r="E111" i="9" a="1"/>
  <c r="E111" i="9" s="1"/>
  <c r="D111" i="9" a="1"/>
  <c r="D111" i="9" s="1"/>
  <c r="C111" i="9" a="1"/>
  <c r="C111" i="9" s="1"/>
  <c r="B111" i="9"/>
  <c r="S109" i="9"/>
  <c r="R109" i="9"/>
  <c r="P109" i="9"/>
  <c r="G19" i="1" s="1"/>
  <c r="N109" i="9" a="1"/>
  <c r="N109" i="9" s="1"/>
  <c r="M109" i="9" a="1"/>
  <c r="M109" i="9" s="1"/>
  <c r="L109" i="9" a="1"/>
  <c r="L109" i="9" s="1"/>
  <c r="K109" i="9"/>
  <c r="E109" i="9" a="1"/>
  <c r="E109" i="9" s="1"/>
  <c r="AB108" i="9"/>
  <c r="AA108" i="9" s="1"/>
  <c r="U108" i="9"/>
  <c r="T108" i="9"/>
  <c r="AB107" i="9"/>
  <c r="AA107" i="9" s="1"/>
  <c r="U107" i="9"/>
  <c r="T107" i="9"/>
  <c r="AB106" i="9"/>
  <c r="AA106" i="9" s="1"/>
  <c r="U106" i="9"/>
  <c r="T106" i="9"/>
  <c r="AB105" i="9"/>
  <c r="AA105" i="9" s="1"/>
  <c r="U105" i="9"/>
  <c r="T105" i="9"/>
  <c r="AB104" i="9"/>
  <c r="AA104" i="9" s="1"/>
  <c r="U104" i="9"/>
  <c r="T104" i="9"/>
  <c r="AB103" i="9"/>
  <c r="AA103" i="9" s="1"/>
  <c r="U103" i="9"/>
  <c r="T103" i="9"/>
  <c r="AB102" i="9"/>
  <c r="AA102" i="9" s="1"/>
  <c r="U102" i="9"/>
  <c r="T102" i="9"/>
  <c r="AB101" i="9"/>
  <c r="AA101" i="9" s="1"/>
  <c r="U101" i="9"/>
  <c r="T101" i="9"/>
  <c r="AB100" i="9"/>
  <c r="AA100" i="9" s="1"/>
  <c r="U100" i="9"/>
  <c r="T100" i="9"/>
  <c r="AB99" i="9"/>
  <c r="AA99" i="9" s="1"/>
  <c r="U99" i="9"/>
  <c r="T99" i="9"/>
  <c r="AB98" i="9"/>
  <c r="AA98" i="9" s="1"/>
  <c r="U98" i="9"/>
  <c r="T98" i="9"/>
  <c r="AB97" i="9"/>
  <c r="AA97" i="9" s="1"/>
  <c r="U97" i="9"/>
  <c r="T97" i="9"/>
  <c r="AB96" i="9"/>
  <c r="AA96" i="9" s="1"/>
  <c r="U96" i="9"/>
  <c r="T96" i="9"/>
  <c r="AB95" i="9"/>
  <c r="AA95" i="9" s="1"/>
  <c r="U95" i="9"/>
  <c r="T95" i="9"/>
  <c r="AB94" i="9"/>
  <c r="AA94" i="9" s="1"/>
  <c r="U94" i="9"/>
  <c r="T94" i="9"/>
  <c r="AB93" i="9"/>
  <c r="AA93" i="9" s="1"/>
  <c r="U93" i="9"/>
  <c r="T93" i="9"/>
  <c r="AB92" i="9"/>
  <c r="AA92" i="9" s="1"/>
  <c r="U92" i="9"/>
  <c r="T92" i="9"/>
  <c r="AB91" i="9"/>
  <c r="AA91" i="9" s="1"/>
  <c r="U91" i="9"/>
  <c r="T91" i="9"/>
  <c r="AB90" i="9"/>
  <c r="AA90" i="9" s="1"/>
  <c r="U90" i="9"/>
  <c r="T90" i="9"/>
  <c r="AB89" i="9"/>
  <c r="AA89" i="9" s="1"/>
  <c r="U89" i="9"/>
  <c r="T89" i="9"/>
  <c r="AB88" i="9"/>
  <c r="AA88" i="9" s="1"/>
  <c r="U88" i="9"/>
  <c r="T88" i="9"/>
  <c r="AB87" i="9"/>
  <c r="AA87" i="9" s="1"/>
  <c r="U87" i="9"/>
  <c r="T87" i="9"/>
  <c r="AB86" i="9"/>
  <c r="AA86" i="9" s="1"/>
  <c r="U86" i="9"/>
  <c r="T86" i="9"/>
  <c r="AB85" i="9"/>
  <c r="AA85" i="9" s="1"/>
  <c r="U85" i="9"/>
  <c r="T85" i="9"/>
  <c r="AB84" i="9"/>
  <c r="AA84" i="9" s="1"/>
  <c r="U84" i="9"/>
  <c r="T84" i="9"/>
  <c r="AB83" i="9"/>
  <c r="AA83" i="9" s="1"/>
  <c r="U83" i="9"/>
  <c r="T83" i="9"/>
  <c r="AB82" i="9"/>
  <c r="AA82" i="9" s="1"/>
  <c r="U82" i="9"/>
  <c r="T82" i="9"/>
  <c r="AB81" i="9"/>
  <c r="AA81" i="9" s="1"/>
  <c r="U81" i="9"/>
  <c r="T81" i="9"/>
  <c r="AB80" i="9"/>
  <c r="AA80" i="9" s="1"/>
  <c r="U80" i="9"/>
  <c r="T80" i="9"/>
  <c r="AB79" i="9"/>
  <c r="AA79" i="9" s="1"/>
  <c r="U79" i="9"/>
  <c r="T79" i="9"/>
  <c r="AB78" i="9"/>
  <c r="AA78" i="9" s="1"/>
  <c r="U78" i="9"/>
  <c r="T78" i="9"/>
  <c r="AB77" i="9"/>
  <c r="AA77" i="9" s="1"/>
  <c r="U77" i="9"/>
  <c r="T77" i="9"/>
  <c r="AB76" i="9"/>
  <c r="AA76" i="9" s="1"/>
  <c r="U76" i="9"/>
  <c r="T76" i="9"/>
  <c r="AB75" i="9"/>
  <c r="AA75" i="9" s="1"/>
  <c r="U75" i="9"/>
  <c r="T75" i="9"/>
  <c r="AB74" i="9"/>
  <c r="AA74" i="9" s="1"/>
  <c r="U74" i="9"/>
  <c r="T74" i="9"/>
  <c r="AB73" i="9"/>
  <c r="AA73" i="9" s="1"/>
  <c r="U73" i="9"/>
  <c r="T73" i="9"/>
  <c r="AB72" i="9"/>
  <c r="AA72" i="9" s="1"/>
  <c r="U72" i="9"/>
  <c r="T72" i="9"/>
  <c r="AB71" i="9"/>
  <c r="AA71" i="9" s="1"/>
  <c r="U71" i="9"/>
  <c r="T71" i="9"/>
  <c r="AB70" i="9"/>
  <c r="AA70" i="9" s="1"/>
  <c r="U70" i="9"/>
  <c r="T70" i="9"/>
  <c r="AB69" i="9"/>
  <c r="AA69" i="9" s="1"/>
  <c r="U69" i="9"/>
  <c r="T69" i="9"/>
  <c r="AB68" i="9"/>
  <c r="AA68" i="9" s="1"/>
  <c r="U68" i="9"/>
  <c r="T68" i="9"/>
  <c r="AB67" i="9"/>
  <c r="AA67" i="9" s="1"/>
  <c r="U67" i="9"/>
  <c r="T67" i="9"/>
  <c r="AB66" i="9"/>
  <c r="AA66" i="9" s="1"/>
  <c r="U66" i="9"/>
  <c r="T66" i="9"/>
  <c r="AB65" i="9"/>
  <c r="AA65" i="9" s="1"/>
  <c r="U65" i="9"/>
  <c r="T65" i="9"/>
  <c r="AB64" i="9"/>
  <c r="AA64" i="9" s="1"/>
  <c r="U64" i="9"/>
  <c r="T64" i="9"/>
  <c r="AB63" i="9"/>
  <c r="AA63" i="9" s="1"/>
  <c r="U63" i="9"/>
  <c r="T63" i="9"/>
  <c r="AB62" i="9"/>
  <c r="AA62" i="9" s="1"/>
  <c r="U62" i="9"/>
  <c r="T62" i="9"/>
  <c r="AB61" i="9"/>
  <c r="AA61" i="9" s="1"/>
  <c r="U61" i="9"/>
  <c r="T61" i="9"/>
  <c r="AB60" i="9"/>
  <c r="AA60" i="9" s="1"/>
  <c r="U60" i="9"/>
  <c r="T60" i="9"/>
  <c r="AB59" i="9"/>
  <c r="AA59" i="9" s="1"/>
  <c r="U59" i="9"/>
  <c r="T59" i="9"/>
  <c r="AB58" i="9"/>
  <c r="AA58" i="9" s="1"/>
  <c r="U58" i="9"/>
  <c r="T58" i="9"/>
  <c r="AB57" i="9"/>
  <c r="AA57" i="9" s="1"/>
  <c r="U57" i="9"/>
  <c r="T57" i="9"/>
  <c r="AB56" i="9"/>
  <c r="AA56" i="9" s="1"/>
  <c r="U56" i="9"/>
  <c r="T56" i="9"/>
  <c r="AB55" i="9"/>
  <c r="AA55" i="9" s="1"/>
  <c r="U55" i="9"/>
  <c r="T55" i="9"/>
  <c r="AB54" i="9"/>
  <c r="AA54" i="9" s="1"/>
  <c r="U54" i="9"/>
  <c r="T54" i="9"/>
  <c r="AB53" i="9"/>
  <c r="AA53" i="9" s="1"/>
  <c r="U53" i="9"/>
  <c r="T53" i="9"/>
  <c r="AB52" i="9"/>
  <c r="AA52" i="9" s="1"/>
  <c r="U52" i="9"/>
  <c r="T52" i="9"/>
  <c r="AB51" i="9"/>
  <c r="AA51" i="9" s="1"/>
  <c r="U51" i="9"/>
  <c r="T51" i="9"/>
  <c r="AB50" i="9"/>
  <c r="AA50" i="9" s="1"/>
  <c r="T50" i="9"/>
  <c r="U50" i="9" s="1"/>
  <c r="AB49" i="9"/>
  <c r="AA49" i="9" s="1"/>
  <c r="T49" i="9"/>
  <c r="U49" i="9" s="1"/>
  <c r="AB48" i="9"/>
  <c r="AA48" i="9" s="1"/>
  <c r="T48" i="9"/>
  <c r="AB47" i="9"/>
  <c r="AA47" i="9" s="1"/>
  <c r="T47" i="9"/>
  <c r="AB46" i="9"/>
  <c r="AA46" i="9" s="1"/>
  <c r="U46" i="9"/>
  <c r="T46" i="9"/>
  <c r="AB45" i="9"/>
  <c r="AA45" i="9" s="1"/>
  <c r="T45" i="9"/>
  <c r="U45" i="9" s="1"/>
  <c r="AB44" i="9"/>
  <c r="AA44" i="9" s="1"/>
  <c r="T44" i="9"/>
  <c r="U44" i="9" s="1"/>
  <c r="AB43" i="9"/>
  <c r="AA43" i="9" s="1"/>
  <c r="T43" i="9"/>
  <c r="AB42" i="9"/>
  <c r="AA42" i="9" s="1"/>
  <c r="T42" i="9"/>
  <c r="U42" i="9" s="1"/>
  <c r="AB41" i="9"/>
  <c r="T41" i="9"/>
  <c r="U41" i="9" s="1"/>
  <c r="AB40" i="9"/>
  <c r="AA40" i="9" s="1"/>
  <c r="T40" i="9"/>
  <c r="U40" i="9" s="1"/>
  <c r="AB39" i="9"/>
  <c r="AA39" i="9" s="1"/>
  <c r="T39" i="9"/>
  <c r="U39" i="9" s="1"/>
  <c r="AB38" i="9"/>
  <c r="AA38" i="9" s="1"/>
  <c r="T38" i="9"/>
  <c r="AB37" i="9"/>
  <c r="AA37" i="9" s="1"/>
  <c r="T37" i="9"/>
  <c r="U37" i="9" s="1"/>
  <c r="AB36" i="9"/>
  <c r="AA36" i="9" s="1"/>
  <c r="T36" i="9"/>
  <c r="U36" i="9" s="1"/>
  <c r="AB35" i="9"/>
  <c r="AA35" i="9" s="1"/>
  <c r="T35" i="9"/>
  <c r="U35" i="9" s="1"/>
  <c r="AB34" i="9"/>
  <c r="AA34" i="9" s="1"/>
  <c r="T34" i="9"/>
  <c r="U34" i="9" s="1"/>
  <c r="AB33" i="9"/>
  <c r="AA33" i="9" s="1"/>
  <c r="T33" i="9"/>
  <c r="U33" i="9" s="1"/>
  <c r="AB32" i="9"/>
  <c r="AA32" i="9" s="1"/>
  <c r="T32" i="9"/>
  <c r="AB31" i="9"/>
  <c r="AA31" i="9" s="1"/>
  <c r="T31" i="9"/>
  <c r="U31" i="9" s="1"/>
  <c r="AB30" i="9"/>
  <c r="T30" i="9"/>
  <c r="U30" i="9" s="1"/>
  <c r="AB29" i="9"/>
  <c r="AA29" i="9" s="1"/>
  <c r="T29" i="9"/>
  <c r="U29" i="9" s="1"/>
  <c r="AB28" i="9"/>
  <c r="T28" i="9"/>
  <c r="AB27" i="9"/>
  <c r="AA27" i="9" s="1"/>
  <c r="U27" i="9"/>
  <c r="T27" i="9"/>
  <c r="AB26" i="9"/>
  <c r="AA26" i="9" s="1"/>
  <c r="T26" i="9"/>
  <c r="U26" i="9" s="1"/>
  <c r="AB25" i="9"/>
  <c r="AA25" i="9" s="1"/>
  <c r="T25" i="9"/>
  <c r="AB24" i="9"/>
  <c r="AA24" i="9" s="1"/>
  <c r="T24" i="9"/>
  <c r="U24" i="9" s="1"/>
  <c r="AB23" i="9"/>
  <c r="AA23" i="9" s="1"/>
  <c r="T23" i="9"/>
  <c r="U23" i="9" s="1"/>
  <c r="AB22" i="9"/>
  <c r="AA22" i="9" s="1"/>
  <c r="T22" i="9"/>
  <c r="AB21" i="9"/>
  <c r="AA21" i="9" s="1"/>
  <c r="T21" i="9"/>
  <c r="U21" i="9" s="1"/>
  <c r="AB20" i="9"/>
  <c r="AA20" i="9" s="1"/>
  <c r="T20" i="9"/>
  <c r="U20" i="9" s="1"/>
  <c r="AB19" i="9"/>
  <c r="AA19" i="9" s="1"/>
  <c r="T19" i="9"/>
  <c r="U19" i="9" s="1"/>
  <c r="AB18" i="9"/>
  <c r="AA18" i="9" s="1"/>
  <c r="T18" i="9"/>
  <c r="U18" i="9" s="1"/>
  <c r="AB17" i="9"/>
  <c r="AA17" i="9" s="1"/>
  <c r="T17" i="9"/>
  <c r="U17" i="9" s="1"/>
  <c r="AB16" i="9"/>
  <c r="T16" i="9"/>
  <c r="AB15" i="9"/>
  <c r="AA15" i="9" s="1"/>
  <c r="T15" i="9"/>
  <c r="U15" i="9" s="1"/>
  <c r="AB14" i="9"/>
  <c r="AA14" i="9" s="1"/>
  <c r="T14" i="9"/>
  <c r="U14" i="9" s="1"/>
  <c r="AB13" i="9"/>
  <c r="AA13" i="9" s="1"/>
  <c r="T13" i="9"/>
  <c r="U13" i="9" s="1"/>
  <c r="AB12" i="9"/>
  <c r="AA12" i="9" s="1"/>
  <c r="T12" i="9"/>
  <c r="U12" i="9" s="1"/>
  <c r="AB11" i="9"/>
  <c r="AA11" i="9" s="1"/>
  <c r="T11" i="9"/>
  <c r="AB10" i="9"/>
  <c r="AA10" i="9" s="1"/>
  <c r="T10" i="9"/>
  <c r="U10" i="9" s="1"/>
  <c r="AB9" i="9"/>
  <c r="AA9" i="9" s="1"/>
  <c r="T9" i="9"/>
  <c r="U9" i="9" s="1"/>
  <c r="J9" i="9" a="1"/>
  <c r="J9" i="9" s="1"/>
  <c r="I9" i="9" a="1"/>
  <c r="I9" i="9" s="1"/>
  <c r="C9" i="9"/>
  <c r="A9" i="9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B8" i="9"/>
  <c r="AA8" i="9" s="1"/>
  <c r="T8" i="9"/>
  <c r="J8" i="9" a="1"/>
  <c r="J8" i="9" s="1"/>
  <c r="I8" i="9" a="1"/>
  <c r="I8" i="9" s="1"/>
  <c r="H8" i="9"/>
  <c r="G8" i="9"/>
  <c r="AD6" i="9"/>
  <c r="AD5" i="9"/>
  <c r="U5" i="9"/>
  <c r="T5" i="9"/>
  <c r="R5" i="9"/>
  <c r="O5" i="9"/>
  <c r="K5" i="9" a="1"/>
  <c r="K5" i="9" s="1"/>
  <c r="J19" i="1" s="1"/>
  <c r="F5" i="9" a="1"/>
  <c r="F5" i="9" s="1"/>
  <c r="AD4" i="9"/>
  <c r="U4" i="9"/>
  <c r="T4" i="9"/>
  <c r="R4" i="9"/>
  <c r="O4" i="9"/>
  <c r="AD3" i="9"/>
  <c r="Y3" i="9"/>
  <c r="O3" i="9"/>
  <c r="AD2" i="9"/>
  <c r="O2" i="9"/>
  <c r="O1" i="9"/>
  <c r="Q9" i="9" s="1"/>
  <c r="F1" i="9"/>
  <c r="D5" i="1"/>
  <c r="F4" i="1"/>
  <c r="F3" i="1"/>
  <c r="E3" i="1"/>
  <c r="C1" i="1"/>
  <c r="B1" i="1" s="1"/>
  <c r="H58" i="9" l="1"/>
  <c r="I58" i="9" a="1"/>
  <c r="I58" i="9" s="1"/>
  <c r="F59" i="9"/>
  <c r="J58" i="9" a="1"/>
  <c r="J58" i="9" s="1"/>
  <c r="G58" i="9"/>
  <c r="G15" i="9"/>
  <c r="H15" i="9"/>
  <c r="I15" i="9" a="1"/>
  <c r="I15" i="9" s="1"/>
  <c r="J15" i="9" a="1"/>
  <c r="J15" i="9" s="1"/>
  <c r="F16" i="9"/>
  <c r="C5" i="9"/>
  <c r="Q8" i="9"/>
  <c r="U32" i="9"/>
  <c r="U48" i="9"/>
  <c r="H9" i="9"/>
  <c r="G9" i="9"/>
  <c r="B9" i="9" s="1" a="1"/>
  <c r="B9" i="9" s="1"/>
  <c r="Z9" i="9"/>
  <c r="AB6" i="10"/>
  <c r="AF6" i="10" s="1"/>
  <c r="AF9" i="10"/>
  <c r="AH9" i="10"/>
  <c r="AE10" i="10"/>
  <c r="AE9" i="10"/>
  <c r="AG10" i="10"/>
  <c r="AE8" i="10"/>
  <c r="AH10" i="10"/>
  <c r="AE7" i="10"/>
  <c r="AG9" i="10"/>
  <c r="AF10" i="10"/>
  <c r="AE6" i="10"/>
  <c r="AB27" i="10"/>
  <c r="AF27" i="10" s="1"/>
  <c r="AE29" i="10"/>
  <c r="AH29" i="10"/>
  <c r="AE27" i="10"/>
  <c r="AG31" i="10"/>
  <c r="AH31" i="10"/>
  <c r="AB47" i="10"/>
  <c r="AD47" i="10" s="1"/>
  <c r="AD51" i="10"/>
  <c r="AD50" i="10"/>
  <c r="AD49" i="10"/>
  <c r="AD48" i="10"/>
  <c r="AB57" i="10"/>
  <c r="AD57" i="10" s="1"/>
  <c r="AD61" i="10"/>
  <c r="AD60" i="10"/>
  <c r="AD59" i="10"/>
  <c r="AD58" i="10"/>
  <c r="AG29" i="10"/>
  <c r="AG8" i="10"/>
  <c r="AG7" i="10"/>
  <c r="AE30" i="10"/>
  <c r="AE31" i="10"/>
  <c r="AF8" i="10"/>
  <c r="AH28" i="10"/>
  <c r="AH7" i="10"/>
  <c r="AF28" i="10"/>
  <c r="AF7" i="10"/>
  <c r="AH27" i="10"/>
  <c r="AH8" i="10"/>
  <c r="AF29" i="10"/>
  <c r="AG28" i="10"/>
  <c r="AH6" i="10"/>
  <c r="AG27" i="10"/>
  <c r="AG6" i="10"/>
  <c r="AF31" i="10"/>
  <c r="AH30" i="10"/>
  <c r="AG30" i="10"/>
  <c r="AF30" i="10"/>
  <c r="AE28" i="10"/>
  <c r="A38" i="9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Q2" i="8" a="1"/>
  <c r="Q2" i="8" s="1"/>
  <c r="I6" i="1"/>
  <c r="G6" i="1"/>
  <c r="H6" i="1" s="1"/>
  <c r="AE113" i="9"/>
  <c r="U11" i="9"/>
  <c r="U43" i="9"/>
  <c r="U22" i="9"/>
  <c r="U28" i="9"/>
  <c r="F114" i="9"/>
  <c r="J114" i="9"/>
  <c r="L13" i="1"/>
  <c r="E5" i="9"/>
  <c r="I115" i="9"/>
  <c r="I19" i="1" s="1"/>
  <c r="J111" i="9"/>
  <c r="D115" i="9"/>
  <c r="C19" i="1" s="1"/>
  <c r="C10" i="9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U16" i="9"/>
  <c r="U38" i="9"/>
  <c r="T109" i="9"/>
  <c r="AB2" i="9"/>
  <c r="U8" i="9"/>
  <c r="B8" i="9" s="1" a="1"/>
  <c r="B8" i="9" s="1"/>
  <c r="C115" i="9"/>
  <c r="B19" i="1" s="1"/>
  <c r="F111" i="9"/>
  <c r="U47" i="9"/>
  <c r="Z8" i="9"/>
  <c r="U25" i="9"/>
  <c r="K115" i="9"/>
  <c r="F112" i="9"/>
  <c r="J13" i="1" s="1"/>
  <c r="K13" i="1"/>
  <c r="E115" i="9"/>
  <c r="D19" i="1" s="1"/>
  <c r="F113" i="9"/>
  <c r="A13" i="1" s="1"/>
  <c r="H59" i="9" l="1"/>
  <c r="G59" i="9"/>
  <c r="I59" i="9" a="1"/>
  <c r="I59" i="9" s="1"/>
  <c r="J59" i="9" a="1"/>
  <c r="J59" i="9" s="1"/>
  <c r="F60" i="9"/>
  <c r="F17" i="9"/>
  <c r="J16" i="9" a="1"/>
  <c r="J16" i="9" s="1"/>
  <c r="G16" i="9"/>
  <c r="H16" i="9"/>
  <c r="I16" i="9" a="1"/>
  <c r="I16" i="9" s="1"/>
  <c r="H113" i="9"/>
  <c r="H112" i="9"/>
  <c r="H115" i="9" s="1"/>
  <c r="Q2" i="9"/>
  <c r="D7" i="10"/>
  <c r="D6" i="10"/>
  <c r="Q10" i="9"/>
  <c r="G10" i="9"/>
  <c r="B10" i="9" s="1" a="1"/>
  <c r="B10" i="9" s="1"/>
  <c r="H10" i="9"/>
  <c r="I10" i="9" a="1"/>
  <c r="I10" i="9" s="1"/>
  <c r="J10" i="9" a="1"/>
  <c r="J10" i="9" s="1"/>
  <c r="P22" i="10" a="1"/>
  <c r="P22" i="10" s="1"/>
  <c r="H7" i="11" a="1"/>
  <c r="H7" i="11" s="1"/>
  <c r="AB77" i="10" a="1"/>
  <c r="AB77" i="10" s="1"/>
  <c r="O22" i="10" a="1"/>
  <c r="O22" i="10" s="1"/>
  <c r="J7" i="11" a="1"/>
  <c r="J7" i="11" s="1"/>
  <c r="I7" i="11" a="1"/>
  <c r="I7" i="11" s="1"/>
  <c r="AB67" i="10" a="1"/>
  <c r="AB67" i="10" s="1"/>
  <c r="N22" i="10" a="1"/>
  <c r="N22" i="10" s="1"/>
  <c r="U22" i="10" s="1" a="1"/>
  <c r="U22" i="10" s="1"/>
  <c r="H6" i="10" a="1"/>
  <c r="H6" i="10" s="1"/>
  <c r="A107" i="9"/>
  <c r="A108" i="9" s="1"/>
  <c r="A83" i="9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G112" i="9"/>
  <c r="A5" i="9"/>
  <c r="P4" i="9"/>
  <c r="U109" i="9"/>
  <c r="P2" i="9" s="1"/>
  <c r="Y2" i="9" s="1"/>
  <c r="D5" i="9" a="1"/>
  <c r="D5" i="9" s="1"/>
  <c r="G113" i="9"/>
  <c r="U2" i="9" a="1"/>
  <c r="U2" i="9" s="1"/>
  <c r="B5" i="9" s="1"/>
  <c r="H19" i="1" s="1"/>
  <c r="G3" i="1" s="1"/>
  <c r="P5" i="9"/>
  <c r="J60" i="9" l="1" a="1"/>
  <c r="J60" i="9" s="1"/>
  <c r="F61" i="9"/>
  <c r="G60" i="9"/>
  <c r="H60" i="9"/>
  <c r="I60" i="9" a="1"/>
  <c r="I60" i="9" s="1"/>
  <c r="G17" i="9"/>
  <c r="H17" i="9"/>
  <c r="I17" i="9" a="1"/>
  <c r="I17" i="9" s="1"/>
  <c r="J17" i="9" a="1"/>
  <c r="J17" i="9" s="1"/>
  <c r="F18" i="9"/>
  <c r="J112" i="9"/>
  <c r="Z10" i="9"/>
  <c r="Q11" i="9"/>
  <c r="B11" i="9" a="1"/>
  <c r="B11" i="9" s="1"/>
  <c r="B17" i="11"/>
  <c r="D14" i="11" a="1"/>
  <c r="D14" i="11" s="1"/>
  <c r="B9" i="11"/>
  <c r="B14" i="11"/>
  <c r="D8" i="11"/>
  <c r="M7" i="11" a="1"/>
  <c r="M7" i="11" s="1"/>
  <c r="C14" i="11" a="1"/>
  <c r="C14" i="11" s="1"/>
  <c r="D11" i="11"/>
  <c r="C11" i="11"/>
  <c r="B11" i="11"/>
  <c r="C8" i="11"/>
  <c r="D21" i="11" a="1"/>
  <c r="D21" i="11" s="1"/>
  <c r="B8" i="11"/>
  <c r="C21" i="11" a="1"/>
  <c r="C21" i="11" s="1"/>
  <c r="B21" i="11"/>
  <c r="D18" i="11" a="1"/>
  <c r="D18" i="11" s="1"/>
  <c r="D10" i="11" a="1"/>
  <c r="D10" i="11" s="1"/>
  <c r="C18" i="11" a="1"/>
  <c r="C18" i="11" s="1"/>
  <c r="C10" i="11" a="1"/>
  <c r="C10" i="11" s="1"/>
  <c r="D20" i="11" a="1"/>
  <c r="D20" i="11" s="1"/>
  <c r="B15" i="11"/>
  <c r="D12" i="11"/>
  <c r="B7" i="11"/>
  <c r="C17" i="11" a="1"/>
  <c r="C17" i="11" s="1"/>
  <c r="B18" i="11"/>
  <c r="D15" i="11" a="1"/>
  <c r="D15" i="11" s="1"/>
  <c r="B10" i="11"/>
  <c r="C15" i="11" a="1"/>
  <c r="C15" i="11" s="1"/>
  <c r="C20" i="11" a="1"/>
  <c r="C20" i="11" s="1"/>
  <c r="C12" i="11"/>
  <c r="B20" i="11"/>
  <c r="D17" i="11" a="1"/>
  <c r="D17" i="11" s="1"/>
  <c r="B12" i="11"/>
  <c r="D9" i="11"/>
  <c r="C9" i="11"/>
  <c r="Z22" i="10" a="1"/>
  <c r="Z22" i="10" s="1"/>
  <c r="X22" i="10" a="1"/>
  <c r="X22" i="10" s="1"/>
  <c r="T22" i="10" a="1"/>
  <c r="T22" i="10" s="1"/>
  <c r="N7" i="11" a="1"/>
  <c r="N7" i="11" s="1"/>
  <c r="F11" i="11"/>
  <c r="F8" i="11"/>
  <c r="E8" i="11"/>
  <c r="E21" i="11"/>
  <c r="G10" i="11" a="1"/>
  <c r="G10" i="11" s="1"/>
  <c r="E11" i="11"/>
  <c r="G8" i="11"/>
  <c r="G21" i="11" a="1"/>
  <c r="G21" i="11" s="1"/>
  <c r="F21" i="11" a="1"/>
  <c r="F21" i="11" s="1"/>
  <c r="G18" i="11" a="1"/>
  <c r="G18" i="11" s="1"/>
  <c r="F18" i="11" a="1"/>
  <c r="F18" i="11" s="1"/>
  <c r="F10" i="11" a="1"/>
  <c r="F10" i="11" s="1"/>
  <c r="E18" i="11"/>
  <c r="G15" i="11" a="1"/>
  <c r="G15" i="11" s="1"/>
  <c r="E10" i="11"/>
  <c r="F15" i="11" a="1"/>
  <c r="F15" i="11" s="1"/>
  <c r="T10" i="11"/>
  <c r="G20" i="11" a="1"/>
  <c r="G20" i="11" s="1"/>
  <c r="E15" i="11"/>
  <c r="G12" i="11"/>
  <c r="E7" i="11"/>
  <c r="T7" i="11"/>
  <c r="T9" i="11"/>
  <c r="F20" i="11" a="1"/>
  <c r="F20" i="11" s="1"/>
  <c r="F12" i="11"/>
  <c r="T8" i="11"/>
  <c r="E20" i="11"/>
  <c r="G17" i="11" a="1"/>
  <c r="G17" i="11" s="1"/>
  <c r="E12" i="11"/>
  <c r="G9" i="11"/>
  <c r="F17" i="11" a="1"/>
  <c r="F17" i="11" s="1"/>
  <c r="F9" i="11"/>
  <c r="T6" i="11"/>
  <c r="E17" i="11"/>
  <c r="G14" i="11" a="1"/>
  <c r="G14" i="11" s="1"/>
  <c r="E9" i="11"/>
  <c r="Q7" i="11" a="1"/>
  <c r="Q7" i="11" s="1"/>
  <c r="F14" i="11" a="1"/>
  <c r="F14" i="11" s="1"/>
  <c r="E14" i="11"/>
  <c r="G11" i="11"/>
  <c r="L7" i="11" a="1"/>
  <c r="L7" i="11" s="1"/>
  <c r="G7" i="11"/>
  <c r="F7" i="11"/>
  <c r="D7" i="11"/>
  <c r="C7" i="11"/>
  <c r="P7" i="11" a="1"/>
  <c r="P7" i="11" s="1"/>
  <c r="V22" i="10" a="1"/>
  <c r="V22" i="10" s="1"/>
  <c r="Q22" i="10" a="1"/>
  <c r="Q22" i="10" s="1"/>
  <c r="N13" i="1"/>
  <c r="I5" i="1"/>
  <c r="G4" i="1"/>
  <c r="E4" i="1" s="1"/>
  <c r="E5" i="1" s="1"/>
  <c r="I4" i="1"/>
  <c r="G5" i="1"/>
  <c r="I3" i="1"/>
  <c r="J113" i="9"/>
  <c r="J115" i="9" s="1"/>
  <c r="E13" i="1"/>
  <c r="G115" i="9"/>
  <c r="G61" i="9" l="1"/>
  <c r="H61" i="9"/>
  <c r="I61" i="9" a="1"/>
  <c r="I61" i="9" s="1"/>
  <c r="J61" i="9" a="1"/>
  <c r="J61" i="9" s="1"/>
  <c r="F62" i="9"/>
  <c r="F19" i="9"/>
  <c r="G18" i="9"/>
  <c r="H18" i="9"/>
  <c r="I18" i="9" a="1"/>
  <c r="I18" i="9" s="1"/>
  <c r="J18" i="9" a="1"/>
  <c r="J18" i="9" s="1"/>
  <c r="B16" i="11"/>
  <c r="D19" i="11"/>
  <c r="T12" i="11"/>
  <c r="S15" i="11" s="1" a="1"/>
  <c r="S15" i="11" s="1"/>
  <c r="T15" i="11" s="1" a="1"/>
  <c r="T15" i="11" s="1"/>
  <c r="B12" i="9" a="1"/>
  <c r="B12" i="9" s="1"/>
  <c r="Q12" i="9"/>
  <c r="Z11" i="9"/>
  <c r="G16" i="11"/>
  <c r="C19" i="11"/>
  <c r="F16" i="11"/>
  <c r="C13" i="11"/>
  <c r="D16" i="11"/>
  <c r="G19" i="11"/>
  <c r="W22" i="10" a="1"/>
  <c r="W22" i="10" s="1"/>
  <c r="Y22" i="10" a="1"/>
  <c r="Y22" i="10" s="1"/>
  <c r="S22" i="10" a="1"/>
  <c r="S22" i="10" s="1"/>
  <c r="F13" i="11"/>
  <c r="C16" i="11"/>
  <c r="G13" i="11"/>
  <c r="E16" i="11"/>
  <c r="E19" i="11"/>
  <c r="F19" i="11"/>
  <c r="D13" i="11"/>
  <c r="E13" i="11"/>
  <c r="B13" i="11"/>
  <c r="B19" i="11"/>
  <c r="H4" i="1"/>
  <c r="H3" i="1"/>
  <c r="F63" i="9" l="1"/>
  <c r="G62" i="9"/>
  <c r="H62" i="9"/>
  <c r="I62" i="9" a="1"/>
  <c r="I62" i="9" s="1"/>
  <c r="J62" i="9" a="1"/>
  <c r="J62" i="9" s="1"/>
  <c r="J19" i="9" a="1"/>
  <c r="J19" i="9" s="1"/>
  <c r="H19" i="9"/>
  <c r="I19" i="9" a="1"/>
  <c r="I19" i="9" s="1"/>
  <c r="G19" i="9"/>
  <c r="F20" i="9"/>
  <c r="B16" i="9" a="1"/>
  <c r="B16" i="9" s="1"/>
  <c r="U15" i="11" a="1"/>
  <c r="U15" i="11" s="1"/>
  <c r="V15" i="11" a="1"/>
  <c r="V15" i="11" s="1"/>
  <c r="B13" i="9" a="1"/>
  <c r="B13" i="9" s="1"/>
  <c r="Q13" i="9"/>
  <c r="Z12" i="9"/>
  <c r="H5" i="1"/>
  <c r="I63" i="9" l="1" a="1"/>
  <c r="I63" i="9" s="1"/>
  <c r="J63" i="9" a="1"/>
  <c r="J63" i="9" s="1"/>
  <c r="G63" i="9"/>
  <c r="H63" i="9"/>
  <c r="F64" i="9"/>
  <c r="H20" i="9"/>
  <c r="I20" i="9" a="1"/>
  <c r="I20" i="9" s="1"/>
  <c r="J20" i="9" a="1"/>
  <c r="J20" i="9" s="1"/>
  <c r="F21" i="9"/>
  <c r="G20" i="9"/>
  <c r="Z13" i="9"/>
  <c r="B14" i="9" a="1"/>
  <c r="B14" i="9" s="1"/>
  <c r="Q14" i="9"/>
  <c r="G64" i="9" l="1"/>
  <c r="H64" i="9"/>
  <c r="I64" i="9" a="1"/>
  <c r="I64" i="9" s="1"/>
  <c r="J64" i="9" a="1"/>
  <c r="J64" i="9" s="1"/>
  <c r="F65" i="9"/>
  <c r="G21" i="9"/>
  <c r="J21" i="9" a="1"/>
  <c r="J21" i="9" s="1"/>
  <c r="F22" i="9"/>
  <c r="H21" i="9"/>
  <c r="I21" i="9" a="1"/>
  <c r="I21" i="9" s="1"/>
  <c r="Z14" i="9"/>
  <c r="B15" i="9" a="1"/>
  <c r="B15" i="9" s="1"/>
  <c r="Q15" i="9"/>
  <c r="G65" i="9" l="1"/>
  <c r="J65" i="9" a="1"/>
  <c r="J65" i="9" s="1"/>
  <c r="H65" i="9"/>
  <c r="F66" i="9"/>
  <c r="I65" i="9" a="1"/>
  <c r="I65" i="9" s="1"/>
  <c r="G22" i="9"/>
  <c r="H22" i="9"/>
  <c r="I22" i="9" a="1"/>
  <c r="I22" i="9" s="1"/>
  <c r="J22" i="9" a="1"/>
  <c r="J22" i="9" s="1"/>
  <c r="F23" i="9"/>
  <c r="Q16" i="9"/>
  <c r="Z15" i="9"/>
  <c r="G66" i="9" l="1"/>
  <c r="H66" i="9"/>
  <c r="I66" i="9" a="1"/>
  <c r="I66" i="9" s="1"/>
  <c r="J66" i="9" a="1"/>
  <c r="J66" i="9" s="1"/>
  <c r="F67" i="9"/>
  <c r="I23" i="9" a="1"/>
  <c r="I23" i="9" s="1"/>
  <c r="J23" i="9" a="1"/>
  <c r="J23" i="9" s="1"/>
  <c r="G23" i="9"/>
  <c r="H23" i="9"/>
  <c r="B17" i="9" a="1"/>
  <c r="B17" i="9" s="1"/>
  <c r="Q17" i="9"/>
  <c r="Z16" i="9"/>
  <c r="AA16" i="9"/>
  <c r="Y112" i="9" s="1"/>
  <c r="I67" i="9" l="1" a="1"/>
  <c r="I67" i="9" s="1"/>
  <c r="F68" i="9"/>
  <c r="J67" i="9" a="1"/>
  <c r="J67" i="9" s="1"/>
  <c r="G67" i="9"/>
  <c r="H67" i="9"/>
  <c r="B21" i="9" a="1"/>
  <c r="B21" i="9" s="1"/>
  <c r="AA112" i="9"/>
  <c r="AD112" i="9" s="1"/>
  <c r="B18" i="9" a="1"/>
  <c r="B18" i="9" s="1"/>
  <c r="Q18" i="9"/>
  <c r="Z17" i="9"/>
  <c r="I68" i="9" l="1" a="1"/>
  <c r="I68" i="9" s="1"/>
  <c r="G68" i="9"/>
  <c r="H68" i="9"/>
  <c r="J68" i="9" a="1"/>
  <c r="J68" i="9" s="1"/>
  <c r="F69" i="9"/>
  <c r="B19" i="9" a="1"/>
  <c r="B19" i="9" s="1"/>
  <c r="Q19" i="9"/>
  <c r="Z18" i="9"/>
  <c r="J69" i="9" l="1" a="1"/>
  <c r="J69" i="9" s="1"/>
  <c r="F70" i="9"/>
  <c r="G69" i="9"/>
  <c r="H69" i="9"/>
  <c r="I69" i="9" a="1"/>
  <c r="I69" i="9" s="1"/>
  <c r="F24" i="9"/>
  <c r="Z19" i="9"/>
  <c r="Q20" i="9"/>
  <c r="B20" i="9" a="1"/>
  <c r="B20" i="9" s="1"/>
  <c r="H70" i="9" l="1"/>
  <c r="I70" i="9" a="1"/>
  <c r="I70" i="9" s="1"/>
  <c r="J70" i="9" a="1"/>
  <c r="J70" i="9" s="1"/>
  <c r="G70" i="9"/>
  <c r="F71" i="9"/>
  <c r="F25" i="9"/>
  <c r="I24" i="9" a="1"/>
  <c r="I24" i="9" s="1"/>
  <c r="H24" i="9"/>
  <c r="G24" i="9"/>
  <c r="J24" i="9" a="1"/>
  <c r="J24" i="9" s="1"/>
  <c r="Q21" i="9"/>
  <c r="Z20" i="9"/>
  <c r="F72" i="9" l="1"/>
  <c r="G71" i="9"/>
  <c r="H71" i="9"/>
  <c r="I71" i="9" a="1"/>
  <c r="I71" i="9" s="1"/>
  <c r="J71" i="9" a="1"/>
  <c r="J71" i="9" s="1"/>
  <c r="H25" i="9"/>
  <c r="F26" i="9"/>
  <c r="G25" i="9"/>
  <c r="I25" i="9" a="1"/>
  <c r="I25" i="9" s="1"/>
  <c r="J25" i="9" a="1"/>
  <c r="J25" i="9" s="1"/>
  <c r="Z21" i="9"/>
  <c r="B22" i="9" a="1"/>
  <c r="B22" i="9" s="1"/>
  <c r="Q22" i="9"/>
  <c r="F73" i="9" l="1"/>
  <c r="G72" i="9"/>
  <c r="J72" i="9" a="1"/>
  <c r="J72" i="9" s="1"/>
  <c r="H72" i="9"/>
  <c r="I72" i="9" a="1"/>
  <c r="I72" i="9" s="1"/>
  <c r="G26" i="9"/>
  <c r="H26" i="9"/>
  <c r="I26" i="9" a="1"/>
  <c r="I26" i="9" s="1"/>
  <c r="F27" i="9"/>
  <c r="J26" i="9" a="1"/>
  <c r="J26" i="9" s="1"/>
  <c r="Q23" i="9"/>
  <c r="B23" i="9" a="1"/>
  <c r="B23" i="9" s="1"/>
  <c r="Z22" i="9"/>
  <c r="G73" i="9" l="1"/>
  <c r="H73" i="9"/>
  <c r="I73" i="9" a="1"/>
  <c r="I73" i="9" s="1"/>
  <c r="J73" i="9" a="1"/>
  <c r="J73" i="9" s="1"/>
  <c r="F74" i="9"/>
  <c r="H27" i="9"/>
  <c r="F28" i="9"/>
  <c r="G27" i="9"/>
  <c r="I27" i="9" a="1"/>
  <c r="I27" i="9" s="1"/>
  <c r="J27" i="9" a="1"/>
  <c r="J27" i="9" s="1"/>
  <c r="Z23" i="9"/>
  <c r="B24" i="9" a="1"/>
  <c r="B24" i="9" s="1"/>
  <c r="Q24" i="9"/>
  <c r="H74" i="9" l="1"/>
  <c r="I74" i="9" a="1"/>
  <c r="I74" i="9" s="1"/>
  <c r="F75" i="9"/>
  <c r="J74" i="9" a="1"/>
  <c r="J74" i="9" s="1"/>
  <c r="G74" i="9"/>
  <c r="F29" i="9"/>
  <c r="H28" i="9"/>
  <c r="G28" i="9"/>
  <c r="B28" i="9" s="1" a="1"/>
  <c r="B28" i="9" s="1"/>
  <c r="I28" i="9" a="1"/>
  <c r="I28" i="9" s="1"/>
  <c r="J28" i="9" a="1"/>
  <c r="J28" i="9" s="1"/>
  <c r="Z24" i="9"/>
  <c r="B25" i="9" a="1"/>
  <c r="B25" i="9" s="1"/>
  <c r="Q25" i="9"/>
  <c r="G75" i="9" l="1"/>
  <c r="H75" i="9"/>
  <c r="I75" i="9" a="1"/>
  <c r="I75" i="9" s="1"/>
  <c r="J75" i="9" a="1"/>
  <c r="J75" i="9" s="1"/>
  <c r="F76" i="9"/>
  <c r="G29" i="9"/>
  <c r="H29" i="9"/>
  <c r="I29" i="9" a="1"/>
  <c r="I29" i="9" s="1"/>
  <c r="J29" i="9" a="1"/>
  <c r="J29" i="9" s="1"/>
  <c r="F30" i="9"/>
  <c r="Q26" i="9"/>
  <c r="B26" i="9" a="1"/>
  <c r="B26" i="9" s="1"/>
  <c r="Z25" i="9"/>
  <c r="J76" i="9" l="1" a="1"/>
  <c r="J76" i="9" s="1"/>
  <c r="F77" i="9"/>
  <c r="G76" i="9"/>
  <c r="H76" i="9"/>
  <c r="I76" i="9" a="1"/>
  <c r="I76" i="9" s="1"/>
  <c r="G30" i="9"/>
  <c r="B30" i="9" s="1" a="1"/>
  <c r="B30" i="9" s="1"/>
  <c r="H30" i="9"/>
  <c r="F31" i="9"/>
  <c r="I30" i="9" a="1"/>
  <c r="I30" i="9" s="1"/>
  <c r="J30" i="9" a="1"/>
  <c r="J30" i="9" s="1"/>
  <c r="Z26" i="9"/>
  <c r="Q27" i="9"/>
  <c r="B27" i="9" a="1"/>
  <c r="B27" i="9" s="1"/>
  <c r="G77" i="9" l="1"/>
  <c r="H77" i="9"/>
  <c r="I77" i="9" a="1"/>
  <c r="I77" i="9" s="1"/>
  <c r="J77" i="9" a="1"/>
  <c r="J77" i="9" s="1"/>
  <c r="F78" i="9"/>
  <c r="H31" i="9"/>
  <c r="F32" i="9"/>
  <c r="G31" i="9"/>
  <c r="I31" i="9" a="1"/>
  <c r="I31" i="9" s="1"/>
  <c r="J31" i="9" a="1"/>
  <c r="J31" i="9" s="1"/>
  <c r="Q28" i="9"/>
  <c r="Z27" i="9"/>
  <c r="J78" i="9" l="1" a="1"/>
  <c r="J78" i="9" s="1"/>
  <c r="F79" i="9"/>
  <c r="G78" i="9"/>
  <c r="H78" i="9"/>
  <c r="I78" i="9" a="1"/>
  <c r="I78" i="9" s="1"/>
  <c r="G32" i="9"/>
  <c r="H32" i="9"/>
  <c r="I32" i="9" a="1"/>
  <c r="I32" i="9" s="1"/>
  <c r="J32" i="9" a="1"/>
  <c r="J32" i="9" s="1"/>
  <c r="F33" i="9"/>
  <c r="Q29" i="9"/>
  <c r="B29" i="9" a="1"/>
  <c r="B29" i="9" s="1"/>
  <c r="Z28" i="9"/>
  <c r="AA28" i="9"/>
  <c r="I79" i="9" l="1" a="1"/>
  <c r="I79" i="9" s="1"/>
  <c r="J79" i="9" a="1"/>
  <c r="J79" i="9" s="1"/>
  <c r="G79" i="9"/>
  <c r="H79" i="9"/>
  <c r="F80" i="9"/>
  <c r="G33" i="9"/>
  <c r="F34" i="9"/>
  <c r="H33" i="9"/>
  <c r="I33" i="9" a="1"/>
  <c r="I33" i="9" s="1"/>
  <c r="J33" i="9" a="1"/>
  <c r="J33" i="9" s="1"/>
  <c r="Z29" i="9"/>
  <c r="Q30" i="9"/>
  <c r="F81" i="9" l="1"/>
  <c r="G80" i="9"/>
  <c r="H80" i="9"/>
  <c r="I80" i="9" a="1"/>
  <c r="I80" i="9" s="1"/>
  <c r="J80" i="9" a="1"/>
  <c r="J80" i="9" s="1"/>
  <c r="J34" i="9" a="1"/>
  <c r="J34" i="9" s="1"/>
  <c r="G34" i="9"/>
  <c r="F35" i="9"/>
  <c r="H34" i="9"/>
  <c r="I34" i="9" a="1"/>
  <c r="I34" i="9" s="1"/>
  <c r="AA30" i="9"/>
  <c r="Z30" i="9"/>
  <c r="Q31" i="9"/>
  <c r="B31" i="9" a="1"/>
  <c r="B31" i="9" s="1"/>
  <c r="G81" i="9" l="1"/>
  <c r="J81" i="9" a="1"/>
  <c r="J81" i="9" s="1"/>
  <c r="H81" i="9"/>
  <c r="F82" i="9"/>
  <c r="I81" i="9" a="1"/>
  <c r="I81" i="9" s="1"/>
  <c r="H35" i="9"/>
  <c r="G35" i="9"/>
  <c r="J35" i="9" a="1"/>
  <c r="J35" i="9" s="1"/>
  <c r="I35" i="9" a="1"/>
  <c r="I35" i="9" s="1"/>
  <c r="F36" i="9"/>
  <c r="Q32" i="9"/>
  <c r="B32" i="9" a="1"/>
  <c r="B32" i="9" s="1"/>
  <c r="Z31" i="9"/>
  <c r="G82" i="9" l="1"/>
  <c r="H82" i="9"/>
  <c r="I82" i="9" a="1"/>
  <c r="I82" i="9" s="1"/>
  <c r="J82" i="9" a="1"/>
  <c r="J82" i="9" s="1"/>
  <c r="F83" i="9"/>
  <c r="G36" i="9"/>
  <c r="J36" i="9" a="1"/>
  <c r="J36" i="9" s="1"/>
  <c r="H36" i="9"/>
  <c r="I36" i="9" a="1"/>
  <c r="I36" i="9" s="1"/>
  <c r="F37" i="9"/>
  <c r="B33" i="9" a="1"/>
  <c r="B33" i="9" s="1"/>
  <c r="Q33" i="9"/>
  <c r="Z32" i="9"/>
  <c r="I83" i="9" l="1" a="1"/>
  <c r="I83" i="9" s="1"/>
  <c r="F84" i="9"/>
  <c r="J83" i="9" a="1"/>
  <c r="J83" i="9" s="1"/>
  <c r="G83" i="9"/>
  <c r="H83" i="9"/>
  <c r="J37" i="9" a="1"/>
  <c r="J37" i="9" s="1"/>
  <c r="G37" i="9"/>
  <c r="H37" i="9"/>
  <c r="I37" i="9" a="1"/>
  <c r="I37" i="9" s="1"/>
  <c r="F38" i="9"/>
  <c r="B34" i="9" a="1"/>
  <c r="B34" i="9" s="1"/>
  <c r="Q34" i="9"/>
  <c r="Z33" i="9"/>
  <c r="I84" i="9" l="1" a="1"/>
  <c r="I84" i="9" s="1"/>
  <c r="G84" i="9"/>
  <c r="H84" i="9"/>
  <c r="F85" i="9"/>
  <c r="J84" i="9" a="1"/>
  <c r="J84" i="9" s="1"/>
  <c r="H38" i="9"/>
  <c r="G38" i="9"/>
  <c r="I38" i="9" a="1"/>
  <c r="I38" i="9" s="1"/>
  <c r="J38" i="9" a="1"/>
  <c r="J38" i="9" s="1"/>
  <c r="F39" i="9"/>
  <c r="Q35" i="9"/>
  <c r="B35" i="9" a="1"/>
  <c r="B35" i="9" s="1"/>
  <c r="Z34" i="9"/>
  <c r="J85" i="9" l="1" a="1"/>
  <c r="J85" i="9" s="1"/>
  <c r="F86" i="9"/>
  <c r="G85" i="9"/>
  <c r="H85" i="9"/>
  <c r="I85" i="9" a="1"/>
  <c r="I85" i="9" s="1"/>
  <c r="F40" i="9"/>
  <c r="G39" i="9"/>
  <c r="H39" i="9"/>
  <c r="I39" i="9" a="1"/>
  <c r="I39" i="9" s="1"/>
  <c r="J39" i="9" a="1"/>
  <c r="J39" i="9" s="1"/>
  <c r="Z35" i="9"/>
  <c r="B36" i="9" a="1"/>
  <c r="B36" i="9" s="1"/>
  <c r="Q36" i="9"/>
  <c r="H86" i="9" l="1"/>
  <c r="I86" i="9" a="1"/>
  <c r="I86" i="9" s="1"/>
  <c r="J86" i="9" a="1"/>
  <c r="J86" i="9" s="1"/>
  <c r="G86" i="9"/>
  <c r="F87" i="9"/>
  <c r="F41" i="9"/>
  <c r="J40" i="9" a="1"/>
  <c r="J40" i="9" s="1"/>
  <c r="G40" i="9"/>
  <c r="H40" i="9"/>
  <c r="I40" i="9" a="1"/>
  <c r="I40" i="9" s="1"/>
  <c r="Z36" i="9"/>
  <c r="B37" i="9" a="1"/>
  <c r="B37" i="9" s="1"/>
  <c r="Q37" i="9"/>
  <c r="F88" i="9" l="1"/>
  <c r="H87" i="9"/>
  <c r="G87" i="9"/>
  <c r="I87" i="9" a="1"/>
  <c r="I87" i="9" s="1"/>
  <c r="J87" i="9" a="1"/>
  <c r="J87" i="9" s="1"/>
  <c r="J41" i="9" a="1"/>
  <c r="J41" i="9" s="1"/>
  <c r="F42" i="9"/>
  <c r="G41" i="9"/>
  <c r="B41" i="9" s="1" a="1"/>
  <c r="B41" i="9" s="1"/>
  <c r="H41" i="9"/>
  <c r="I41" i="9" a="1"/>
  <c r="I41" i="9" s="1"/>
  <c r="Q38" i="9"/>
  <c r="B38" i="9" a="1"/>
  <c r="B38" i="9" s="1"/>
  <c r="Z37" i="9"/>
  <c r="F89" i="9" l="1"/>
  <c r="G88" i="9"/>
  <c r="J88" i="9" a="1"/>
  <c r="J88" i="9" s="1"/>
  <c r="H88" i="9"/>
  <c r="I88" i="9" a="1"/>
  <c r="I88" i="9" s="1"/>
  <c r="F43" i="9"/>
  <c r="J42" i="9" a="1"/>
  <c r="J42" i="9" s="1"/>
  <c r="I42" i="9" a="1"/>
  <c r="I42" i="9" s="1"/>
  <c r="G42" i="9"/>
  <c r="H42" i="9"/>
  <c r="B39" i="9" a="1"/>
  <c r="B39" i="9" s="1"/>
  <c r="Q39" i="9"/>
  <c r="Z38" i="9"/>
  <c r="G89" i="9" l="1"/>
  <c r="H89" i="9"/>
  <c r="I89" i="9" a="1"/>
  <c r="I89" i="9" s="1"/>
  <c r="J89" i="9" a="1"/>
  <c r="J89" i="9" s="1"/>
  <c r="F90" i="9"/>
  <c r="I43" i="9" a="1"/>
  <c r="I43" i="9" s="1"/>
  <c r="J43" i="9" a="1"/>
  <c r="J43" i="9" s="1"/>
  <c r="F44" i="9"/>
  <c r="G43" i="9"/>
  <c r="H43" i="9"/>
  <c r="Z39" i="9"/>
  <c r="Q40" i="9"/>
  <c r="B40" i="9" a="1"/>
  <c r="B40" i="9" s="1"/>
  <c r="H90" i="9" l="1"/>
  <c r="I90" i="9" a="1"/>
  <c r="I90" i="9" s="1"/>
  <c r="J90" i="9" a="1"/>
  <c r="J90" i="9" s="1"/>
  <c r="G90" i="9"/>
  <c r="G44" i="9"/>
  <c r="H44" i="9"/>
  <c r="J44" i="9" a="1"/>
  <c r="J44" i="9" s="1"/>
  <c r="F45" i="9"/>
  <c r="I44" i="9" a="1"/>
  <c r="I44" i="9" s="1"/>
  <c r="Z40" i="9"/>
  <c r="Q41" i="9"/>
  <c r="I45" i="9" l="1" a="1"/>
  <c r="I45" i="9" s="1"/>
  <c r="J45" i="9" a="1"/>
  <c r="J45" i="9" s="1"/>
  <c r="F46" i="9"/>
  <c r="G45" i="9"/>
  <c r="B45" i="9" s="1" a="1"/>
  <c r="B45" i="9" s="1"/>
  <c r="H45" i="9"/>
  <c r="B42" i="9" a="1"/>
  <c r="B42" i="9" s="1"/>
  <c r="Q42" i="9"/>
  <c r="Z41" i="9"/>
  <c r="AA41" i="9"/>
  <c r="I46" i="9" l="1" a="1"/>
  <c r="I46" i="9" s="1"/>
  <c r="J46" i="9" a="1"/>
  <c r="J46" i="9" s="1"/>
  <c r="F47" i="9"/>
  <c r="H46" i="9"/>
  <c r="G46" i="9"/>
  <c r="AA2" i="9"/>
  <c r="B2" i="9" s="1"/>
  <c r="Y114" i="9"/>
  <c r="Z42" i="9"/>
  <c r="B43" i="9" a="1"/>
  <c r="B43" i="9" s="1"/>
  <c r="Q43" i="9"/>
  <c r="G47" i="9" l="1"/>
  <c r="J47" i="9" a="1"/>
  <c r="J47" i="9" s="1"/>
  <c r="H47" i="9"/>
  <c r="I47" i="9" a="1"/>
  <c r="I47" i="9" s="1"/>
  <c r="F48" i="9"/>
  <c r="AA114" i="9"/>
  <c r="AA115" i="9" s="1"/>
  <c r="Y115" i="9"/>
  <c r="Z43" i="9"/>
  <c r="B44" i="9" a="1"/>
  <c r="B44" i="9" s="1"/>
  <c r="Q44" i="9"/>
  <c r="H48" i="9" l="1"/>
  <c r="F49" i="9"/>
  <c r="G48" i="9"/>
  <c r="I48" i="9" a="1"/>
  <c r="I48" i="9" s="1"/>
  <c r="J48" i="9" a="1"/>
  <c r="J48" i="9" s="1"/>
  <c r="AD114" i="9"/>
  <c r="AD115" i="9"/>
  <c r="Q45" i="9"/>
  <c r="Z44" i="9"/>
  <c r="H49" i="9" l="1"/>
  <c r="I49" i="9" a="1"/>
  <c r="I49" i="9" s="1"/>
  <c r="F50" i="9"/>
  <c r="J49" i="9" a="1"/>
  <c r="J49" i="9" s="1"/>
  <c r="G49" i="9"/>
  <c r="Q46" i="9"/>
  <c r="B46" i="9" a="1"/>
  <c r="B46" i="9" s="1"/>
  <c r="Z45" i="9"/>
  <c r="I50" i="9" l="1" a="1"/>
  <c r="I50" i="9" s="1"/>
  <c r="G50" i="9"/>
  <c r="H50" i="9"/>
  <c r="J50" i="9" a="1"/>
  <c r="J50" i="9" s="1"/>
  <c r="F51" i="9"/>
  <c r="Q47" i="9"/>
  <c r="B47" i="9" a="1"/>
  <c r="B47" i="9" s="1"/>
  <c r="Z46" i="9"/>
  <c r="I51" i="9" l="1" a="1"/>
  <c r="I51" i="9" s="1"/>
  <c r="G51" i="9"/>
  <c r="B51" i="9" s="1" a="1"/>
  <c r="B51" i="9" s="1"/>
  <c r="H51" i="9"/>
  <c r="J51" i="9" a="1"/>
  <c r="J51" i="9" s="1"/>
  <c r="B48" i="9" a="1"/>
  <c r="B48" i="9" s="1"/>
  <c r="Q48" i="9"/>
  <c r="Z47" i="9"/>
  <c r="Z48" i="9" l="1"/>
  <c r="Q49" i="9"/>
  <c r="B49" i="9" a="1"/>
  <c r="B49" i="9" s="1"/>
  <c r="Z49" i="9" l="1"/>
  <c r="B50" i="9" a="1"/>
  <c r="B50" i="9" s="1"/>
  <c r="Q50" i="9"/>
  <c r="F52" i="9" l="1"/>
  <c r="Q51" i="9"/>
  <c r="Z50" i="9"/>
  <c r="H52" i="9" l="1"/>
  <c r="I52" i="9" a="1"/>
  <c r="I52" i="9" s="1"/>
  <c r="J52" i="9" a="1"/>
  <c r="J52" i="9" s="1"/>
  <c r="G52" i="9"/>
  <c r="B52" i="9" s="1" a="1"/>
  <c r="B52" i="9" s="1"/>
  <c r="Z51" i="9"/>
  <c r="F53" i="9"/>
  <c r="Q52" i="9"/>
  <c r="G53" i="9" l="1"/>
  <c r="B53" i="9" s="1" a="1"/>
  <c r="B53" i="9" s="1"/>
  <c r="I53" i="9" a="1"/>
  <c r="I53" i="9" s="1"/>
  <c r="H53" i="9"/>
  <c r="J53" i="9" a="1"/>
  <c r="J53" i="9" s="1"/>
  <c r="Z52" i="9"/>
  <c r="F54" i="9"/>
  <c r="Q53" i="9"/>
  <c r="I54" i="9" l="1" a="1"/>
  <c r="I54" i="9" s="1"/>
  <c r="G54" i="9"/>
  <c r="B54" i="9" s="1" a="1"/>
  <c r="B54" i="9" s="1"/>
  <c r="H54" i="9"/>
  <c r="J54" i="9" a="1"/>
  <c r="J54" i="9" s="1"/>
  <c r="F55" i="9"/>
  <c r="Q54" i="9"/>
  <c r="Z53" i="9"/>
  <c r="H55" i="9" l="1"/>
  <c r="I55" i="9" a="1"/>
  <c r="I55" i="9" s="1"/>
  <c r="J55" i="9" a="1"/>
  <c r="J55" i="9" s="1"/>
  <c r="G55" i="9"/>
  <c r="B55" i="9" s="1" a="1"/>
  <c r="B55" i="9" s="1"/>
  <c r="Z54" i="9"/>
  <c r="Q55" i="9"/>
  <c r="B56" i="9" l="1" a="1"/>
  <c r="B56" i="9" s="1"/>
  <c r="Z55" i="9"/>
  <c r="Q56" i="9"/>
  <c r="B57" i="9" l="1" a="1"/>
  <c r="B57" i="9" s="1"/>
  <c r="Z56" i="9"/>
  <c r="Q57" i="9"/>
  <c r="B58" i="9" l="1" a="1"/>
  <c r="B58" i="9" s="1"/>
  <c r="Q58" i="9"/>
  <c r="Z57" i="9"/>
  <c r="B59" i="9" l="1" a="1"/>
  <c r="B59" i="9" s="1"/>
  <c r="Z58" i="9"/>
  <c r="Q59" i="9"/>
  <c r="B60" i="9" l="1" a="1"/>
  <c r="B60" i="9" s="1"/>
  <c r="Q60" i="9"/>
  <c r="Z59" i="9"/>
  <c r="B61" i="9" l="1" a="1"/>
  <c r="B61" i="9" s="1"/>
  <c r="Q61" i="9"/>
  <c r="Z60" i="9"/>
  <c r="B62" i="9" l="1" a="1"/>
  <c r="B62" i="9" s="1"/>
  <c r="Z61" i="9"/>
  <c r="Q62" i="9"/>
  <c r="B63" i="9" l="1" a="1"/>
  <c r="B63" i="9" s="1"/>
  <c r="Z62" i="9"/>
  <c r="Q63" i="9"/>
  <c r="B64" i="9" l="1" a="1"/>
  <c r="B64" i="9" s="1"/>
  <c r="Z112" i="9"/>
  <c r="AB112" i="9"/>
  <c r="Z114" i="9"/>
  <c r="AB114" i="9"/>
  <c r="Z63" i="9"/>
  <c r="Q64" i="9"/>
  <c r="B65" i="9" l="1" a="1"/>
  <c r="B65" i="9" s="1"/>
  <c r="AE114" i="9"/>
  <c r="AB115" i="9"/>
  <c r="Z115" i="9"/>
  <c r="AE112" i="9"/>
  <c r="Q65" i="9"/>
  <c r="Z64" i="9"/>
  <c r="B66" i="9" l="1" a="1"/>
  <c r="B66" i="9" s="1"/>
  <c r="AE115" i="9"/>
  <c r="Z65" i="9"/>
  <c r="Q66" i="9"/>
  <c r="B67" i="9" l="1" a="1"/>
  <c r="B67" i="9" s="1"/>
  <c r="Z66" i="9"/>
  <c r="Q67" i="9"/>
  <c r="B68" i="9" l="1" a="1"/>
  <c r="B68" i="9" s="1"/>
  <c r="Q68" i="9"/>
  <c r="Z67" i="9"/>
  <c r="B69" i="9" l="1" a="1"/>
  <c r="B69" i="9" s="1"/>
  <c r="Q69" i="9"/>
  <c r="Z68" i="9"/>
  <c r="B70" i="9" l="1" a="1"/>
  <c r="B70" i="9" s="1"/>
  <c r="Z69" i="9"/>
  <c r="Q70" i="9"/>
  <c r="B71" i="9" l="1" a="1"/>
  <c r="B71" i="9" s="1"/>
  <c r="Z70" i="9"/>
  <c r="Q71" i="9"/>
  <c r="B72" i="9" l="1" a="1"/>
  <c r="B72" i="9" s="1"/>
  <c r="Q72" i="9"/>
  <c r="Z71" i="9"/>
  <c r="B73" i="9" l="1" a="1"/>
  <c r="B73" i="9" s="1"/>
  <c r="Q73" i="9"/>
  <c r="Z72" i="9"/>
  <c r="B74" i="9" l="1" a="1"/>
  <c r="B74" i="9" s="1"/>
  <c r="Z73" i="9"/>
  <c r="Q74" i="9"/>
  <c r="B75" i="9" l="1" a="1"/>
  <c r="B75" i="9" s="1"/>
  <c r="Q75" i="9"/>
  <c r="Z74" i="9"/>
  <c r="B76" i="9" l="1" a="1"/>
  <c r="B76" i="9" s="1"/>
  <c r="Z75" i="9"/>
  <c r="Q76" i="9"/>
  <c r="B77" i="9" l="1" a="1"/>
  <c r="B77" i="9" s="1"/>
  <c r="Z76" i="9"/>
  <c r="Q77" i="9"/>
  <c r="B78" i="9" l="1" a="1"/>
  <c r="B78" i="9" s="1"/>
  <c r="Q78" i="9"/>
  <c r="Z77" i="9"/>
  <c r="B79" i="9" l="1" a="1"/>
  <c r="B79" i="9" s="1"/>
  <c r="Z78" i="9"/>
  <c r="Q79" i="9"/>
  <c r="B80" i="9" l="1" a="1"/>
  <c r="B80" i="9" s="1"/>
  <c r="Q80" i="9"/>
  <c r="Z79" i="9"/>
  <c r="B81" i="9" l="1" a="1"/>
  <c r="B81" i="9" s="1"/>
  <c r="Q81" i="9"/>
  <c r="Z80" i="9"/>
  <c r="B82" i="9" l="1" a="1"/>
  <c r="B82" i="9" s="1"/>
  <c r="Z81" i="9"/>
  <c r="F107" i="9"/>
  <c r="Q82" i="9"/>
  <c r="I107" i="9" l="1" a="1"/>
  <c r="I107" i="9" s="1"/>
  <c r="J107" i="9" a="1"/>
  <c r="J107" i="9" s="1"/>
  <c r="G107" i="9"/>
  <c r="B107" i="9" s="1" a="1"/>
  <c r="B107" i="9" s="1"/>
  <c r="H107" i="9"/>
  <c r="B83" i="9" a="1"/>
  <c r="B83" i="9" s="1"/>
  <c r="Q107" i="9"/>
  <c r="F108" i="9"/>
  <c r="Q83" i="9"/>
  <c r="Z82" i="9"/>
  <c r="G108" i="9" l="1"/>
  <c r="B108" i="9" s="1" a="1"/>
  <c r="B108" i="9" s="1"/>
  <c r="J108" i="9" a="1"/>
  <c r="J108" i="9" s="1"/>
  <c r="H108" i="9"/>
  <c r="I108" i="9" a="1"/>
  <c r="I108" i="9" s="1"/>
  <c r="B84" i="9" a="1"/>
  <c r="B84" i="9" s="1"/>
  <c r="Z83" i="9"/>
  <c r="Q108" i="9"/>
  <c r="Z107" i="9"/>
  <c r="Q84" i="9"/>
  <c r="B85" i="9" l="1" a="1"/>
  <c r="B85" i="9" s="1"/>
  <c r="Q4" i="9"/>
  <c r="Q5" i="9"/>
  <c r="M113" i="9" a="1"/>
  <c r="M113" i="9" s="1"/>
  <c r="M112" i="9" a="1"/>
  <c r="M112" i="9" s="1"/>
  <c r="Z108" i="9"/>
  <c r="Z84" i="9"/>
  <c r="Q85" i="9"/>
  <c r="B86" i="9" l="1" a="1"/>
  <c r="B86" i="9" s="1"/>
  <c r="P13" i="1"/>
  <c r="H13" i="1"/>
  <c r="G13" i="1"/>
  <c r="M115" i="9"/>
  <c r="E19" i="1" s="1"/>
  <c r="Q86" i="9"/>
  <c r="Z85" i="9"/>
  <c r="B87" i="9" l="1" a="1"/>
  <c r="B87" i="9" s="1"/>
  <c r="Q13" i="1"/>
  <c r="N115" i="9"/>
  <c r="F19" i="1" s="1"/>
  <c r="Z86" i="9"/>
  <c r="Q87" i="9"/>
  <c r="B88" i="9" l="1" a="1"/>
  <c r="B88" i="9" s="1"/>
  <c r="Q88" i="9"/>
  <c r="Z87" i="9"/>
  <c r="B89" i="9" l="1" a="1"/>
  <c r="B89" i="9" s="1"/>
  <c r="Q89" i="9"/>
  <c r="Z88" i="9"/>
  <c r="B90" i="9" l="1" a="1"/>
  <c r="B90" i="9" s="1"/>
  <c r="Z89" i="9"/>
  <c r="Q90" i="9"/>
  <c r="F91" i="9"/>
  <c r="J91" i="9" l="1" a="1"/>
  <c r="J91" i="9" s="1"/>
  <c r="G91" i="9"/>
  <c r="B91" i="9" s="1" a="1"/>
  <c r="B91" i="9" s="1"/>
  <c r="H91" i="9"/>
  <c r="I91" i="9" a="1"/>
  <c r="I91" i="9" s="1"/>
  <c r="F92" i="9"/>
  <c r="Q91" i="9"/>
  <c r="Z90" i="9"/>
  <c r="G92" i="9" l="1"/>
  <c r="B92" i="9" s="1" a="1"/>
  <c r="B92" i="9" s="1"/>
  <c r="H92" i="9"/>
  <c r="I92" i="9" a="1"/>
  <c r="I92" i="9" s="1"/>
  <c r="J92" i="9" a="1"/>
  <c r="J92" i="9" s="1"/>
  <c r="Z91" i="9"/>
  <c r="F93" i="9"/>
  <c r="Q92" i="9"/>
  <c r="G93" i="9" l="1"/>
  <c r="B93" i="9" s="1" a="1"/>
  <c r="B93" i="9" s="1"/>
  <c r="H93" i="9"/>
  <c r="I93" i="9" a="1"/>
  <c r="I93" i="9" s="1"/>
  <c r="J93" i="9" a="1"/>
  <c r="J93" i="9" s="1"/>
  <c r="Z92" i="9"/>
  <c r="F94" i="9"/>
  <c r="Q93" i="9"/>
  <c r="H94" i="9" l="1"/>
  <c r="G94" i="9"/>
  <c r="B94" i="9" s="1" a="1"/>
  <c r="B94" i="9" s="1"/>
  <c r="I94" i="9" a="1"/>
  <c r="I94" i="9" s="1"/>
  <c r="J94" i="9" a="1"/>
  <c r="J94" i="9" s="1"/>
  <c r="Z93" i="9"/>
  <c r="Q94" i="9"/>
  <c r="F95" i="9"/>
  <c r="H95" i="9" l="1"/>
  <c r="G95" i="9"/>
  <c r="B95" i="9" s="1" a="1"/>
  <c r="B95" i="9" s="1"/>
  <c r="I95" i="9" a="1"/>
  <c r="I95" i="9" s="1"/>
  <c r="J95" i="9" a="1"/>
  <c r="J95" i="9" s="1"/>
  <c r="Z94" i="9"/>
  <c r="Q95" i="9"/>
  <c r="F96" i="9"/>
  <c r="I96" i="9" l="1" a="1"/>
  <c r="I96" i="9" s="1"/>
  <c r="G96" i="9"/>
  <c r="B96" i="9" s="1" a="1"/>
  <c r="B96" i="9" s="1"/>
  <c r="H96" i="9"/>
  <c r="J96" i="9" a="1"/>
  <c r="J96" i="9" s="1"/>
  <c r="F97" i="9"/>
  <c r="Q96" i="9"/>
  <c r="Z95" i="9"/>
  <c r="G97" i="9" l="1"/>
  <c r="B97" i="9" s="1" a="1"/>
  <c r="B97" i="9" s="1"/>
  <c r="H97" i="9"/>
  <c r="I97" i="9" a="1"/>
  <c r="I97" i="9" s="1"/>
  <c r="J97" i="9" a="1"/>
  <c r="J97" i="9" s="1"/>
  <c r="Z96" i="9"/>
  <c r="F98" i="9"/>
  <c r="Q97" i="9"/>
  <c r="J98" i="9" l="1" a="1"/>
  <c r="J98" i="9" s="1"/>
  <c r="G98" i="9"/>
  <c r="B98" i="9" s="1" a="1"/>
  <c r="B98" i="9" s="1"/>
  <c r="I98" i="9" a="1"/>
  <c r="I98" i="9" s="1"/>
  <c r="H98" i="9"/>
  <c r="Z97" i="9"/>
  <c r="F99" i="9"/>
  <c r="Q98" i="9"/>
  <c r="J99" i="9" l="1" a="1"/>
  <c r="J99" i="9" s="1"/>
  <c r="G99" i="9"/>
  <c r="B99" i="9" s="1" a="1"/>
  <c r="B99" i="9" s="1"/>
  <c r="H99" i="9"/>
  <c r="I99" i="9" a="1"/>
  <c r="I99" i="9" s="1"/>
  <c r="Z98" i="9"/>
  <c r="F100" i="9"/>
  <c r="Q99" i="9"/>
  <c r="J100" i="9" l="1" a="1"/>
  <c r="J100" i="9" s="1"/>
  <c r="G100" i="9"/>
  <c r="B100" i="9" s="1" a="1"/>
  <c r="B100" i="9" s="1"/>
  <c r="H100" i="9"/>
  <c r="I100" i="9" a="1"/>
  <c r="I100" i="9" s="1"/>
  <c r="Z99" i="9"/>
  <c r="Q100" i="9"/>
  <c r="F101" i="9"/>
  <c r="J101" i="9" l="1" a="1"/>
  <c r="J101" i="9" s="1"/>
  <c r="G101" i="9"/>
  <c r="B101" i="9" s="1" a="1"/>
  <c r="B101" i="9" s="1"/>
  <c r="H101" i="9"/>
  <c r="I101" i="9" a="1"/>
  <c r="I101" i="9" s="1"/>
  <c r="Z100" i="9"/>
  <c r="Q101" i="9"/>
  <c r="F102" i="9"/>
  <c r="H102" i="9" l="1"/>
  <c r="G102" i="9"/>
  <c r="B102" i="9" s="1" a="1"/>
  <c r="B102" i="9" s="1"/>
  <c r="I102" i="9" a="1"/>
  <c r="I102" i="9" s="1"/>
  <c r="J102" i="9" a="1"/>
  <c r="J102" i="9" s="1"/>
  <c r="Q102" i="9"/>
  <c r="F103" i="9"/>
  <c r="Z101" i="9"/>
  <c r="G103" i="9" l="1"/>
  <c r="B103" i="9" s="1" a="1"/>
  <c r="B103" i="9" s="1"/>
  <c r="H103" i="9"/>
  <c r="I103" i="9" a="1"/>
  <c r="I103" i="9" s="1"/>
  <c r="J103" i="9" a="1"/>
  <c r="J103" i="9" s="1"/>
  <c r="F104" i="9"/>
  <c r="Q103" i="9"/>
  <c r="Z102" i="9"/>
  <c r="J104" i="9" l="1" a="1"/>
  <c r="J104" i="9" s="1"/>
  <c r="G104" i="9"/>
  <c r="B104" i="9" s="1" a="1"/>
  <c r="B104" i="9" s="1"/>
  <c r="H104" i="9"/>
  <c r="I104" i="9" a="1"/>
  <c r="I104" i="9" s="1"/>
  <c r="Z103" i="9"/>
  <c r="F105" i="9"/>
  <c r="Q104" i="9"/>
  <c r="G105" i="9" l="1"/>
  <c r="B105" i="9" s="1" a="1"/>
  <c r="B105" i="9" s="1"/>
  <c r="J105" i="9" a="1"/>
  <c r="J105" i="9" s="1"/>
  <c r="H105" i="9"/>
  <c r="I105" i="9" a="1"/>
  <c r="I105" i="9" s="1"/>
  <c r="Z104" i="9"/>
  <c r="F106" i="9"/>
  <c r="Q105" i="9"/>
  <c r="I106" i="9" l="1" a="1"/>
  <c r="I106" i="9" s="1"/>
  <c r="I109" i="9" s="1"/>
  <c r="G106" i="9"/>
  <c r="B106" i="9" s="1" a="1"/>
  <c r="B106" i="9" s="1"/>
  <c r="H106" i="9"/>
  <c r="J106" i="9" a="1"/>
  <c r="J106" i="9" s="1"/>
  <c r="Z105" i="9"/>
  <c r="G109" i="9"/>
  <c r="Q106" i="9"/>
  <c r="F109" i="9"/>
  <c r="Z106" i="9" l="1"/>
  <c r="H109" i="9"/>
  <c r="I5" i="9" a="1"/>
  <c r="I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tc={6955E86D-092E-4FDB-A5A2-C42E96460C5B}</author>
    <author>tc={19B390E1-BED8-4C27-8047-FC6661DA4BEF}</author>
    <author>tc={2253B981-D05F-4D35-8A1F-0334299355EE}</author>
    <author>tc={F7BADDD8-EB18-4DC3-8810-577DB9995F80}</author>
    <author>tc={608B4083-7F4F-4E27-BA1A-051E5072F870}</author>
  </authors>
  <commentList>
    <comment ref="F7" authorId="0" shapeId="0" xr:uid="{6955E86D-092E-4FDB-A5A2-C42E96460C5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total number of parts requested by the customer in the quote/order as of today.</t>
      </text>
    </comment>
    <comment ref="G7" authorId="1" shapeId="0" xr:uid="{19B390E1-BED8-4C27-8047-FC6661DA4BE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aggregated number of parts that have reached 100% completion from day 1 to today.</t>
      </text>
    </comment>
    <comment ref="H7" authorId="2" shapeId="0" xr:uid="{2253B981-D05F-4D35-8A1F-0334299355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count of parts that reached completion just today</t>
      </text>
    </comment>
    <comment ref="I7" authorId="3" shapeId="0" xr:uid="{F7BADDD8-EB18-4DC3-8810-577DB9995F8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count of parts we worked on today, finished or not!</t>
      </text>
    </comment>
    <comment ref="J7" authorId="4" shapeId="0" xr:uid="{608B4083-7F4F-4E27-BA1A-051E5072F870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parts one person totally finished today on their own without any assistance (100% completion!).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<sst xmlns="http://schemas.openxmlformats.org/spreadsheetml/2006/main" count="631" uniqueCount="204">
  <si>
    <t>SDL Daily Workload Summary – Bangladesh</t>
  </si>
  <si>
    <t>Row Labels</t>
  </si>
  <si>
    <t>Draft</t>
  </si>
  <si>
    <t>Orders</t>
  </si>
  <si>
    <t>Total</t>
  </si>
  <si>
    <t>Grand Total</t>
  </si>
  <si>
    <t>Fixed OH hr/job</t>
  </si>
  <si>
    <t xml:space="preserve">Hr/Quot Part </t>
  </si>
  <si>
    <t>Remaining</t>
  </si>
  <si>
    <t>Status</t>
  </si>
  <si>
    <t>Job_Type</t>
  </si>
  <si>
    <t>Nos.</t>
  </si>
  <si>
    <t>Part threshold #1</t>
  </si>
  <si>
    <t>Production Center – Daily Tasks</t>
  </si>
  <si>
    <t xml:space="preserve">Hr/Ordr Part </t>
  </si>
  <si>
    <t>Production Center Total SDL time</t>
  </si>
  <si>
    <t>IP</t>
  </si>
  <si>
    <t>D</t>
  </si>
  <si>
    <t>Part threshold #2</t>
  </si>
  <si>
    <t xml:space="preserve">Hr/Drw Part </t>
  </si>
  <si>
    <t>Total Completed BD time for PC</t>
  </si>
  <si>
    <t>NA</t>
  </si>
  <si>
    <t>O</t>
  </si>
  <si>
    <t>C</t>
  </si>
  <si>
    <t>Q</t>
  </si>
  <si>
    <t>Date</t>
  </si>
  <si>
    <t>Job No</t>
  </si>
  <si>
    <t>Type</t>
  </si>
  <si>
    <t>Value (NZ$)</t>
  </si>
  <si>
    <t>Customer</t>
  </si>
  <si>
    <t>Done By</t>
  </si>
  <si>
    <t>QC By</t>
  </si>
  <si>
    <t>Grp Work</t>
  </si>
  <si>
    <t>SDL time</t>
  </si>
  <si>
    <t>Sggstd time</t>
  </si>
  <si>
    <t>Making Time</t>
  </si>
  <si>
    <t>QC Time</t>
  </si>
  <si>
    <t>Work time</t>
  </si>
  <si>
    <t>RM Time</t>
  </si>
  <si>
    <t>Priority</t>
  </si>
  <si>
    <t>Details</t>
  </si>
  <si>
    <t>GU</t>
  </si>
  <si>
    <t>CH</t>
  </si>
  <si>
    <t>CEH</t>
  </si>
  <si>
    <t>T</t>
  </si>
  <si>
    <t>Team Members</t>
  </si>
  <si>
    <t xml:space="preserve">Total: </t>
  </si>
  <si>
    <t>AQZ</t>
  </si>
  <si>
    <t>BJM</t>
  </si>
  <si>
    <t>MB</t>
  </si>
  <si>
    <t>NM</t>
  </si>
  <si>
    <t>SH</t>
  </si>
  <si>
    <t>SI</t>
  </si>
  <si>
    <t>Cmp. Hr</t>
  </si>
  <si>
    <t>Cmp. Nos.</t>
  </si>
  <si>
    <t>Due Hr</t>
  </si>
  <si>
    <t>Due Nos.</t>
  </si>
  <si>
    <t>AH</t>
  </si>
  <si>
    <t>CAJ</t>
  </si>
  <si>
    <t>Quotation</t>
  </si>
  <si>
    <t>Order</t>
  </si>
  <si>
    <t>TOTAL</t>
  </si>
  <si>
    <t>AIK</t>
  </si>
  <si>
    <t>SRF</t>
  </si>
  <si>
    <t>Difficulty</t>
  </si>
  <si>
    <t>Basic</t>
  </si>
  <si>
    <t>Moderate</t>
  </si>
  <si>
    <t>Challenging</t>
  </si>
  <si>
    <t>ZH</t>
  </si>
  <si>
    <t>Jobs</t>
  </si>
  <si>
    <t>Q Left</t>
  </si>
  <si>
    <t>O Left</t>
  </si>
  <si>
    <t>Q LeftHrs</t>
  </si>
  <si>
    <t>O LeftHrs</t>
  </si>
  <si>
    <t>WokDone</t>
  </si>
  <si>
    <t>∑ Value (NZ$)</t>
  </si>
  <si>
    <t>Hrs</t>
  </si>
  <si>
    <t>Quotations</t>
  </si>
  <si>
    <t>Cmplt Q Nos, HRs, $</t>
  </si>
  <si>
    <t>Cmplt O Nos, HRs, $</t>
  </si>
  <si>
    <t>Left O Value $</t>
  </si>
  <si>
    <t>Left Q Value $</t>
  </si>
  <si>
    <t>PC Job Counts and Time (Hrs)</t>
  </si>
  <si>
    <t>Parts</t>
  </si>
  <si>
    <t>Done</t>
  </si>
  <si>
    <t>Qty</t>
  </si>
  <si>
    <t>Pending</t>
  </si>
  <si>
    <t>Actual</t>
  </si>
  <si>
    <t>Overdue</t>
  </si>
  <si>
    <t>Left</t>
  </si>
  <si>
    <t>(NZD)</t>
  </si>
  <si>
    <t xml:space="preserve">Parts </t>
  </si>
  <si>
    <t>Value</t>
  </si>
  <si>
    <t xml:space="preserve"> (NZD)</t>
  </si>
  <si>
    <t>Target</t>
  </si>
  <si>
    <t>Total Jobs</t>
  </si>
  <si>
    <t>Total Jobs (Quotation + Orders)</t>
  </si>
  <si>
    <t>Estmtd</t>
  </si>
  <si>
    <t>In Progress</t>
  </si>
  <si>
    <t>∑ ActualTime</t>
  </si>
  <si>
    <t>Quote/
Order No.</t>
  </si>
  <si>
    <t>Parts 
Acted</t>
  </si>
  <si>
    <t>PartsDone</t>
  </si>
  <si>
    <t>PartsActed</t>
  </si>
  <si>
    <t>Parts
Cmltd</t>
  </si>
  <si>
    <t>Value (NZD)</t>
  </si>
  <si>
    <t>Parts
Done</t>
  </si>
  <si>
    <t>WIP</t>
  </si>
  <si>
    <t>Billable Hrs</t>
  </si>
  <si>
    <t>Item Description</t>
  </si>
  <si>
    <t>Resources</t>
  </si>
  <si>
    <t>TARGET HRS</t>
  </si>
  <si>
    <t>Actual HRS</t>
  </si>
  <si>
    <t>LOAD %</t>
  </si>
  <si>
    <t>SDL Estimation</t>
  </si>
  <si>
    <t>Senior members</t>
  </si>
  <si>
    <t>Junior members</t>
  </si>
  <si>
    <t>Trgt Rsrcs</t>
  </si>
  <si>
    <t>Solo
Parts</t>
  </si>
  <si>
    <t>Value Range</t>
  </si>
  <si>
    <t>Order Frequency</t>
  </si>
  <si>
    <t>Quote Frequency</t>
  </si>
  <si>
    <t>2</t>
  </si>
  <si>
    <t>Count of Q/O</t>
  </si>
  <si>
    <t>% of Total Value</t>
  </si>
  <si>
    <t>Ordering Customers</t>
  </si>
  <si>
    <t>∑ Value (NZD)</t>
  </si>
  <si>
    <t>Count of Orders</t>
  </si>
  <si>
    <t>% of ∑ Value</t>
  </si>
  <si>
    <t>Quoted Customers</t>
  </si>
  <si>
    <t>Count of Quotes</t>
  </si>
  <si>
    <t xml:space="preserve"> ∑ Time</t>
  </si>
  <si>
    <t>% of ∑ Time</t>
  </si>
  <si>
    <t>Job Types</t>
  </si>
  <si>
    <t>Daily Worklog Summary — Production Center</t>
  </si>
  <si>
    <t>Source: Production_Center!D7:U49 (Type, Value NZ$, RM Time, Customer)</t>
  </si>
  <si>
    <t>1) Quote vs Order</t>
  </si>
  <si>
    <t>RM Time (hrs)</t>
  </si>
  <si>
    <t>Quote</t>
  </si>
  <si>
    <t>2) Top Customers by Value &amp; Time</t>
  </si>
  <si>
    <t>Box-plot source</t>
  </si>
  <si>
    <t>Value Band</t>
  </si>
  <si>
    <t>Order Value Band</t>
  </si>
  <si>
    <t>Quote Value Band</t>
  </si>
  <si>
    <t>Descriptive Statistics — Production Center Daily Worklog</t>
  </si>
  <si>
    <t>Source: Production_Center D8:D49 (Type), K8:K49 (Value NZ$), L8:L49 (Customer), U8:U49 (RM Time)</t>
  </si>
  <si>
    <t>Note: Rows with blank/zero Value or blank RM Time are excluded (continued/in-progress jobs).</t>
  </si>
  <si>
    <t>Filtered data (helper)</t>
  </si>
  <si>
    <t>Descriptive Statistics</t>
  </si>
  <si>
    <t>Statistic</t>
  </si>
  <si>
    <t>Value (NZ$) — All</t>
  </si>
  <si>
    <t>Value (NZ$) — Orders</t>
  </si>
  <si>
    <t>Value (NZ$) — Quotes</t>
  </si>
  <si>
    <t>RM Time — All</t>
  </si>
  <si>
    <t>RM Time — Orders</t>
  </si>
  <si>
    <t>RM Time — Quotes</t>
  </si>
  <si>
    <t>Count</t>
  </si>
  <si>
    <t>Sum</t>
  </si>
  <si>
    <t>Mean</t>
  </si>
  <si>
    <t>Median</t>
  </si>
  <si>
    <t>Min</t>
  </si>
  <si>
    <t>Max</t>
  </si>
  <si>
    <t>Range</t>
  </si>
  <si>
    <t>Q1 (25%)</t>
  </si>
  <si>
    <t>Q3 (75%)</t>
  </si>
  <si>
    <t>IQR</t>
  </si>
  <si>
    <t>Std Dev</t>
  </si>
  <si>
    <t>Variance</t>
  </si>
  <si>
    <t>CV (StdDev/Mean)</t>
  </si>
  <si>
    <t>Skewness</t>
  </si>
  <si>
    <t>Kurtosis</t>
  </si>
  <si>
    <t>Distribution Charts</t>
  </si>
  <si>
    <t>RM Time — Normal Fit Build</t>
  </si>
  <si>
    <t>N</t>
  </si>
  <si>
    <t>Bin width</t>
  </si>
  <si>
    <t>Bins</t>
  </si>
  <si>
    <t>Bin upper</t>
  </si>
  <si>
    <t>Bin label</t>
  </si>
  <si>
    <t>Frequency</t>
  </si>
  <si>
    <t>Normal Expected</t>
  </si>
  <si>
    <t>Top Orders (live)</t>
  </si>
  <si>
    <t>Top Quotes (live)</t>
  </si>
  <si>
    <t>Value %</t>
  </si>
  <si>
    <t>Top Customers by Order Count</t>
  </si>
  <si>
    <t>Order Count</t>
  </si>
  <si>
    <t>Top Customers by Quote Count</t>
  </si>
  <si>
    <t>Quote Count</t>
  </si>
  <si>
    <t>Top Customers by Order RM Time</t>
  </si>
  <si>
    <t>Top Customers by Quote RM Time</t>
  </si>
  <si>
    <t>Label</t>
  </si>
  <si>
    <t>(blank)</t>
  </si>
  <si>
    <t>NZ Holidays</t>
  </si>
  <si>
    <t>Auckland Anniversary Day</t>
  </si>
  <si>
    <t>Waitagi day</t>
  </si>
  <si>
    <t>Eid-ul-Fitr Holiday</t>
  </si>
  <si>
    <t>Good Friday</t>
  </si>
  <si>
    <t>Easter Monday</t>
  </si>
  <si>
    <t xml:space="preserve">ANZAC Day </t>
  </si>
  <si>
    <t>Eid-ul-Adha Holiday</t>
  </si>
  <si>
    <t>King's Birthday</t>
  </si>
  <si>
    <t>Matariki Day</t>
  </si>
  <si>
    <t>Labour Day</t>
  </si>
  <si>
    <t>days</t>
  </si>
  <si>
    <t>DWR#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</si>
</sst>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  <numFmt numFmtId="165" formatCode="[$-409]d\-mmm\-yy;@"/>
    <numFmt numFmtId="166" formatCode="[$NZD]\ #,##0.00"/>
    <numFmt numFmtId="167" formatCode="_-[$$-1409]* #,##0.00_-;\-[$$-1409]* #,##0.00_-;_-[$$-1409]* &quot;-&quot;??_-;_-@_-"/>
    <numFmt numFmtId="168" formatCode="[$$-1409]#,##0.00"/>
    <numFmt numFmtId="169" formatCode="[$-409]d\-mmm\-yyyy;@"/>
    <numFmt numFmtId="170" formatCode="_-[$$-1409]* #,##0_-;\-[$$-1409]* #,##0_-;_-[$$-1409]* &quot;-&quot;??_-;_-@_-"/>
    <numFmt numFmtId="171" formatCode="&quot;$&quot;#,##0.00"/>
    <numFmt numFmtId="172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44546A"/>
      <name val="Calibri"/>
      <family val="2"/>
      <scheme val="minor"/>
    </font>
    <font>
      <sz val="8"/>
      <color rgb="FF000000"/>
      <name val="Century Gothic"/>
      <family val="2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99999"/>
      <name val="Calibri"/>
      <family val="2"/>
      <scheme val="minor"/>
    </font>
    <font>
      <sz val="11"/>
      <color rgb="FF99999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8D8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CCCC"/>
        <bgColor indexed="64"/>
      </patternFill>
    </fill>
    <fill>
      <patternFill patternType="solid">
        <fgColor rgb="FFE8D5F7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E2DDF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899E7"/>
      </left>
      <right style="medium">
        <color rgb="FFA899E7"/>
      </right>
      <top style="medium">
        <color rgb="FFA899E7"/>
      </top>
      <bottom style="medium">
        <color rgb="FFA899E7"/>
      </bottom>
      <diagonal/>
    </border>
    <border>
      <left/>
      <right style="medium">
        <color rgb="FFA899E7"/>
      </right>
      <top style="medium">
        <color rgb="FFA899E7"/>
      </top>
      <bottom style="medium">
        <color rgb="FFA899E7"/>
      </bottom>
      <diagonal/>
    </border>
    <border>
      <left style="medium">
        <color rgb="FFA899E7"/>
      </left>
      <right style="medium">
        <color rgb="FFA899E7"/>
      </right>
      <top/>
      <bottom style="medium">
        <color rgb="FFA899E7"/>
      </bottom>
      <diagonal/>
    </border>
    <border>
      <left/>
      <right style="medium">
        <color rgb="FFA899E7"/>
      </right>
      <top/>
      <bottom style="medium">
        <color rgb="FFA899E7"/>
      </bottom>
      <diagonal/>
    </border>
    <border>
      <left/>
      <right/>
      <top/>
      <bottom style="medium">
        <color rgb="FF9BC2E6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/>
    <xf numFmtId="9" fontId="0" fillId="0" borderId="0" xfId="1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0" fontId="4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2" fontId="5" fillId="0" borderId="16" xfId="0" applyNumberFormat="1" applyFont="1" applyBorder="1" applyAlignment="1">
      <alignment horizontal="right"/>
    </xf>
    <xf numFmtId="0" fontId="5" fillId="0" borderId="16" xfId="0" applyFont="1" applyBorder="1" applyAlignment="1">
      <alignment horizontal="left"/>
    </xf>
    <xf numFmtId="0" fontId="5" fillId="0" borderId="16" xfId="0" applyFont="1" applyBorder="1" applyAlignment="1">
      <alignment horizontal="right"/>
    </xf>
    <xf numFmtId="0" fontId="0" fillId="0" borderId="0" xfId="0" pivotButton="1"/>
    <xf numFmtId="165" fontId="0" fillId="0" borderId="16" xfId="0" applyNumberFormat="1" applyBorder="1" applyAlignment="1">
      <alignment horizontal="center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9" fontId="0" fillId="0" borderId="14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0" fillId="0" borderId="0" xfId="0" applyAlignment="1">
      <alignment horizontal="right" vertical="center"/>
    </xf>
    <xf numFmtId="2" fontId="0" fillId="0" borderId="16" xfId="0" applyNumberFormat="1" applyBorder="1" applyAlignment="1">
      <alignment horizontal="righ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0" fillId="5" borderId="16" xfId="0" applyNumberForma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" fontId="5" fillId="0" borderId="26" xfId="0" applyNumberFormat="1" applyFont="1" applyBorder="1" applyAlignment="1">
      <alignment horizontal="right"/>
    </xf>
    <xf numFmtId="0" fontId="6" fillId="0" borderId="28" xfId="0" applyFont="1" applyBorder="1" applyAlignment="1">
      <alignment horizontal="left"/>
    </xf>
    <xf numFmtId="0" fontId="6" fillId="0" borderId="28" xfId="0" applyFont="1" applyBorder="1" applyAlignment="1">
      <alignment horizontal="center"/>
    </xf>
    <xf numFmtId="167" fontId="5" fillId="0" borderId="0" xfId="2" applyNumberFormat="1" applyFont="1" applyBorder="1" applyAlignment="1">
      <alignment horizontal="right"/>
    </xf>
    <xf numFmtId="168" fontId="0" fillId="0" borderId="0" xfId="0" applyNumberFormat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169" fontId="4" fillId="0" borderId="0" xfId="0" applyNumberFormat="1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0" borderId="28" xfId="0" applyFont="1" applyBorder="1" applyAlignment="1">
      <alignment horizontal="right"/>
    </xf>
    <xf numFmtId="2" fontId="5" fillId="0" borderId="28" xfId="0" applyNumberFormat="1" applyFont="1" applyBorder="1" applyAlignment="1">
      <alignment horizontal="right"/>
    </xf>
    <xf numFmtId="2" fontId="0" fillId="0" borderId="28" xfId="0" applyNumberFormat="1" applyBorder="1" applyAlignment="1">
      <alignment horizontal="right" vertical="center"/>
    </xf>
    <xf numFmtId="168" fontId="5" fillId="0" borderId="16" xfId="0" applyNumberFormat="1" applyFont="1" applyBorder="1" applyAlignment="1">
      <alignment horizontal="right"/>
    </xf>
    <xf numFmtId="168" fontId="0" fillId="0" borderId="0" xfId="0" applyNumberFormat="1" applyAlignment="1">
      <alignment horizontal="righ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8" fontId="9" fillId="0" borderId="6" xfId="0" applyNumberFormat="1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14" borderId="29" xfId="0" applyFont="1" applyFill="1" applyBorder="1" applyAlignment="1">
      <alignment horizontal="center" vertical="center" wrapText="1"/>
    </xf>
    <xf numFmtId="8" fontId="9" fillId="0" borderId="2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9" fillId="0" borderId="29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0" fontId="9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1" fillId="11" borderId="6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 wrapText="1"/>
    </xf>
    <xf numFmtId="2" fontId="9" fillId="9" borderId="5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2" fontId="9" fillId="9" borderId="6" xfId="0" applyNumberFormat="1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right" vertical="center"/>
    </xf>
    <xf numFmtId="2" fontId="4" fillId="0" borderId="18" xfId="0" applyNumberFormat="1" applyFont="1" applyBorder="1" applyAlignment="1">
      <alignment horizontal="right" vertical="center"/>
    </xf>
    <xf numFmtId="0" fontId="4" fillId="0" borderId="31" xfId="0" applyFont="1" applyBorder="1" applyAlignment="1">
      <alignment horizontal="center" vertical="center"/>
    </xf>
    <xf numFmtId="2" fontId="9" fillId="6" borderId="29" xfId="0" applyNumberFormat="1" applyFont="1" applyFill="1" applyBorder="1" applyAlignment="1">
      <alignment horizontal="center" vertical="center" wrapText="1"/>
    </xf>
    <xf numFmtId="0" fontId="4" fillId="5" borderId="28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1" fillId="11" borderId="32" xfId="0" applyFont="1" applyFill="1" applyBorder="1" applyAlignment="1">
      <alignment horizontal="center" vertical="center" wrapText="1"/>
    </xf>
    <xf numFmtId="8" fontId="9" fillId="0" borderId="32" xfId="0" applyNumberFormat="1" applyFont="1" applyBorder="1" applyAlignment="1">
      <alignment horizontal="center" vertical="center" wrapText="1"/>
    </xf>
    <xf numFmtId="0" fontId="12" fillId="16" borderId="0" xfId="0" applyFont="1" applyFill="1" applyAlignment="1">
      <alignment vertical="center" wrapText="1"/>
    </xf>
    <xf numFmtId="0" fontId="12" fillId="16" borderId="0" xfId="0" applyFont="1" applyFill="1" applyAlignment="1">
      <alignment horizontal="right" vertical="center" wrapText="1"/>
    </xf>
    <xf numFmtId="0" fontId="13" fillId="0" borderId="33" xfId="0" applyFont="1" applyBorder="1" applyAlignment="1">
      <alignment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vertical="center" wrapText="1"/>
    </xf>
    <xf numFmtId="0" fontId="13" fillId="0" borderId="36" xfId="0" applyFont="1" applyBorder="1" applyAlignment="1">
      <alignment horizontal="center" vertical="center" wrapText="1"/>
    </xf>
    <xf numFmtId="0" fontId="14" fillId="0" borderId="35" xfId="0" applyFont="1" applyBorder="1" applyAlignment="1">
      <alignment vertical="center" wrapText="1"/>
    </xf>
    <xf numFmtId="0" fontId="14" fillId="0" borderId="36" xfId="0" applyFont="1" applyBorder="1" applyAlignment="1">
      <alignment horizontal="center" vertical="center" wrapText="1"/>
    </xf>
    <xf numFmtId="10" fontId="13" fillId="0" borderId="34" xfId="1" applyNumberFormat="1" applyFont="1" applyBorder="1" applyAlignment="1">
      <alignment horizontal="right" vertical="center" wrapText="1"/>
    </xf>
    <xf numFmtId="10" fontId="13" fillId="0" borderId="36" xfId="1" applyNumberFormat="1" applyFont="1" applyBorder="1" applyAlignment="1">
      <alignment horizontal="right" vertical="center" wrapText="1"/>
    </xf>
    <xf numFmtId="10" fontId="14" fillId="0" borderId="36" xfId="1" applyNumberFormat="1" applyFont="1" applyBorder="1" applyAlignment="1">
      <alignment horizontal="right" vertical="center" wrapText="1"/>
    </xf>
    <xf numFmtId="2" fontId="14" fillId="0" borderId="36" xfId="0" applyNumberFormat="1" applyFont="1" applyBorder="1" applyAlignment="1">
      <alignment horizontal="center" vertical="center" wrapText="1"/>
    </xf>
    <xf numFmtId="2" fontId="13" fillId="0" borderId="36" xfId="0" applyNumberFormat="1" applyFont="1" applyBorder="1" applyAlignment="1">
      <alignment horizontal="center" vertical="center" wrapText="1"/>
    </xf>
    <xf numFmtId="10" fontId="0" fillId="0" borderId="0" xfId="0" applyNumberFormat="1"/>
    <xf numFmtId="2" fontId="8" fillId="15" borderId="29" xfId="0" applyNumberFormat="1" applyFont="1" applyFill="1" applyBorder="1" applyAlignment="1">
      <alignment horizontal="center" vertical="center" wrapText="1"/>
    </xf>
    <xf numFmtId="0" fontId="8" fillId="12" borderId="29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4" fillId="17" borderId="37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6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170" fontId="0" fillId="0" borderId="0" xfId="3" applyNumberFormat="1" applyFont="1"/>
    <xf numFmtId="0" fontId="15" fillId="0" borderId="0" xfId="0" applyFont="1"/>
    <xf numFmtId="0" fontId="16" fillId="0" borderId="0" xfId="0" applyFont="1"/>
    <xf numFmtId="0" fontId="4" fillId="18" borderId="0" xfId="0" applyFont="1" applyFill="1"/>
    <xf numFmtId="0" fontId="17" fillId="18" borderId="0" xfId="0" applyFont="1" applyFill="1"/>
    <xf numFmtId="0" fontId="4" fillId="19" borderId="28" xfId="0" applyFont="1" applyFill="1" applyBorder="1"/>
    <xf numFmtId="0" fontId="0" fillId="0" borderId="28" xfId="0" applyBorder="1"/>
    <xf numFmtId="3" fontId="0" fillId="0" borderId="28" xfId="0" applyNumberFormat="1" applyBorder="1"/>
    <xf numFmtId="171" fontId="0" fillId="0" borderId="28" xfId="0" applyNumberFormat="1" applyBorder="1"/>
    <xf numFmtId="2" fontId="0" fillId="0" borderId="28" xfId="0" applyNumberFormat="1" applyBorder="1"/>
    <xf numFmtId="10" fontId="0" fillId="0" borderId="28" xfId="0" applyNumberFormat="1" applyBorder="1"/>
    <xf numFmtId="0" fontId="18" fillId="0" borderId="0" xfId="0" applyFont="1"/>
    <xf numFmtId="0" fontId="19" fillId="0" borderId="0" xfId="0" applyFont="1"/>
    <xf numFmtId="172" fontId="0" fillId="0" borderId="0" xfId="0" applyNumberFormat="1"/>
    <xf numFmtId="165" fontId="0" fillId="0" borderId="0" xfId="0" applyNumberFormat="1"/>
    <xf numFmtId="165" fontId="4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0" xfId="0" applyBorder="1"/>
    <xf numFmtId="0" fontId="4" fillId="0" borderId="0" xfId="0" applyFont="1" applyBorder="1"/>
    <xf numFmtId="0" fontId="0" fillId="0" borderId="0" xfId="0" applyNumberFormat="1"/>
    <xf numFmtId="0" fontId="2" fillId="8" borderId="11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0" fontId="8" fillId="13" borderId="12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58">
    <dxf>
      <fill>
        <patternFill>
          <bgColor rgb="FF93E3FF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theme="9" tint="0.39994506668294322"/>
        </patternFill>
      </fill>
    </dxf>
    <dxf>
      <fill>
        <patternFill>
          <bgColor rgb="FF93E3FF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rgb="FF93E3FF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93E3FF"/>
        </patternFill>
      </fill>
    </dxf>
    <dxf>
      <fill>
        <patternFill>
          <bgColor theme="5" tint="0.59996337778862885"/>
        </patternFill>
      </fill>
    </dxf>
    <dxf>
      <numFmt numFmtId="2" formatCode="0.00"/>
    </dxf>
    <dxf>
      <numFmt numFmtId="168" formatCode="[$$-1409]#,##0.00"/>
    </dxf>
  </dxfs>
  <tableStyles count="0" defaultTableStyle="TableStyleMedium2" defaultPivotStyle="PivotStyleLight16"/>
  <colors>
    <mruColors>
      <color rgb="FFFF5050"/>
      <color rgb="FFE8D5F7"/>
      <color rgb="FFE4CEF6"/>
      <color rgb="FFF8CCCC"/>
      <color rgb="FFEF8D8D"/>
      <color rgb="FFF5B9B9"/>
      <color rgb="FFF7CDF1"/>
      <color rgb="FFFEDCFE"/>
      <color rgb="FFE0F6FA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 sz="12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Quote &amp; Order (NZD) Frequency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Order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Sheet1!$Q$2:$Q$10</c:f>
              <c:numCache>
                <c:formatCode>General</c:formatCode>
                <c:ptCount val="9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4-4B42-8251-9BCC7BD4BE8B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Quote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Sheet1!$R$2:$R$10</c:f>
              <c:numCache>
                <c:formatCode>General</c:formatCode>
                <c:ptCount val="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24-4B42-8251-9BCC7BD4B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6746304"/>
        <c:axId val="686744384"/>
      </c:barChart>
      <c:catAx>
        <c:axId val="6867463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44384"/>
        <c:crosses val="autoZero"/>
        <c:auto val="1"/>
        <c:lblAlgn val="ctr"/>
        <c:lblOffset val="100"/>
        <c:noMultiLvlLbl val="0"/>
      </c:catAx>
      <c:valAx>
        <c:axId val="6867443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4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 Work Report Template v1.4.5.xlsx]Sheet1!PivotTable1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Total Quote &amp; Order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[$$-1409]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∑ Value (NZD)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1409]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Sheet1!$I$3:$I$5</c:f>
              <c:multiLvlStrCache>
                <c:ptCount val="1"/>
                <c:lvl>
                  <c:pt idx="0">
                    <c:v>(blank)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Sheet1!$J$3:$J$5</c:f>
              <c:numCache>
                <c:formatCode>[$$-1409]#,##0.00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5-4846-A6E7-8D6627D94D37}"/>
            </c:ext>
          </c:extLst>
        </c:ser>
        <c:ser>
          <c:idx val="2"/>
          <c:order val="2"/>
          <c:tx>
            <c:strRef>
              <c:f>Sheet1!$L$2</c:f>
              <c:strCache>
                <c:ptCount val="1"/>
                <c:pt idx="0">
                  <c:v>% of Total Value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Sheet1!$I$3:$I$5</c:f>
              <c:multiLvlStrCache>
                <c:ptCount val="1"/>
                <c:lvl>
                  <c:pt idx="0">
                    <c:v>(blank)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Sheet1!$L$3:$L$5</c:f>
              <c:numCache>
                <c:formatCode>0.00%</c:formatCode>
                <c:ptCount val="1"/>
                <c:pt idx="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C1-4A5F-9A54-EFC95F2AB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73134464"/>
        <c:axId val="973133984"/>
      </c:barChart>
      <c:lineChart>
        <c:grouping val="standard"/>
        <c:varyColors val="0"/>
        <c:ser>
          <c:idx val="3"/>
          <c:order val="3"/>
          <c:tx>
            <c:strRef>
              <c:f>Sheet1!$M$2</c:f>
              <c:strCache>
                <c:ptCount val="1"/>
                <c:pt idx="0">
                  <c:v> ∑ 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Sheet1!$I$3:$I$5</c:f>
              <c:multiLvlStrCache>
                <c:ptCount val="1"/>
                <c:lvl>
                  <c:pt idx="0">
                    <c:v>(blank)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Sheet1!$M$3:$M$5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6-4244-B4FB-E010D662BEB1}"/>
            </c:ext>
          </c:extLst>
        </c:ser>
        <c:ser>
          <c:idx val="4"/>
          <c:order val="4"/>
          <c:tx>
            <c:strRef>
              <c:f>Sheet1!$N$2</c:f>
              <c:strCache>
                <c:ptCount val="1"/>
                <c:pt idx="0">
                  <c:v>% of ∑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Sheet1!$I$3:$I$5</c:f>
              <c:multiLvlStrCache>
                <c:ptCount val="1"/>
                <c:lvl>
                  <c:pt idx="0">
                    <c:v>(blank)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Sheet1!$N$3:$N$5</c:f>
              <c:numCache>
                <c:formatCode>0.00%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D6-4244-B4FB-E010D662B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134464"/>
        <c:axId val="973133984"/>
      </c:lineChart>
      <c:lineChart>
        <c:grouping val="standard"/>
        <c:varyColors val="0"/>
        <c:ser>
          <c:idx val="1"/>
          <c:order val="1"/>
          <c:tx>
            <c:strRef>
              <c:f>Sheet1!$K$2</c:f>
              <c:strCache>
                <c:ptCount val="1"/>
                <c:pt idx="0">
                  <c:v>Count of Q/O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Sheet1!$I$3:$I$5</c:f>
              <c:multiLvlStrCache>
                <c:ptCount val="1"/>
                <c:lvl>
                  <c:pt idx="0">
                    <c:v>(blank)</c:v>
                  </c:pt>
                </c:lvl>
                <c:lvl>
                  <c:pt idx="0">
                    <c:v>(blank)</c:v>
                  </c:pt>
                </c:lvl>
              </c:multiLvlStrCache>
            </c:multiLvlStrRef>
          </c:cat>
          <c:val>
            <c:numRef>
              <c:f>Sheet1!$K$3:$K$5</c:f>
              <c:numCache>
                <c:formatCode>General</c:formatCode>
                <c:ptCount val="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5-4846-A6E7-8D6627D94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506287"/>
        <c:axId val="752504367"/>
      </c:lineChart>
      <c:valAx>
        <c:axId val="973133984"/>
        <c:scaling>
          <c:orientation val="minMax"/>
          <c:max val="450000"/>
          <c:min val="0"/>
        </c:scaling>
        <c:delete val="0"/>
        <c:axPos val="l"/>
        <c:numFmt formatCode="[$$-1409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34464"/>
        <c:crosses val="autoZero"/>
        <c:crossBetween val="between"/>
        <c:majorUnit val="100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973134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3133984"/>
        <c:crosses val="autoZero"/>
        <c:auto val="1"/>
        <c:lblAlgn val="ctr"/>
        <c:lblOffset val="100"/>
        <c:noMultiLvlLbl val="0"/>
      </c:catAx>
      <c:valAx>
        <c:axId val="752504367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06287"/>
        <c:crosses val="max"/>
        <c:crossBetween val="between"/>
      </c:valAx>
      <c:catAx>
        <c:axId val="752506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25043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/>
              <a:t>Top Ordering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Sheet1!$P$28</c:f>
              <c:strCache>
                <c:ptCount val="1"/>
                <c:pt idx="0">
                  <c:v>∑ Value (NZD)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DC7-4005-86B4-CB4F50FD7A5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DC7-4005-86B4-CB4F50FD7A5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DC7-4005-86B4-CB4F50FD7A5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C7-4005-86B4-CB4F50FD7A5A}"/>
              </c:ext>
            </c:extLst>
          </c:dPt>
          <c:dLbls>
            <c:dLbl>
              <c:idx val="0"/>
              <c:layout>
                <c:manualLayout>
                  <c:x val="0.20277777777777778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C7-4005-86B4-CB4F50FD7A5A}"/>
                </c:ext>
              </c:extLst>
            </c:dLbl>
            <c:dLbl>
              <c:idx val="1"/>
              <c:layout>
                <c:manualLayout>
                  <c:x val="-0.15911067366579176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C7-4005-86B4-CB4F50FD7A5A}"/>
                </c:ext>
              </c:extLst>
            </c:dLbl>
            <c:dLbl>
              <c:idx val="2"/>
              <c:layout>
                <c:manualLayout>
                  <c:x val="9.166666666666666E-2"/>
                  <c:y val="0.111111111111111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C7-4005-86B4-CB4F50FD7A5A}"/>
                </c:ext>
              </c:extLst>
            </c:dLbl>
            <c:dLbl>
              <c:idx val="3"/>
              <c:layout>
                <c:manualLayout>
                  <c:x val="-0.1166666666666667"/>
                  <c:y val="-0.1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C7-4005-86B4-CB4F50FD7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Sheet1!$O$29:$O$32</c:f>
              <c:numCache>
                <c:formatCode>General</c:formatCode>
                <c:ptCount val="4"/>
              </c:numCache>
            </c:numRef>
          </c:cat>
          <c:val>
            <c:numRef>
              <c:f>Sheet1!$P$29:$P$32</c:f>
              <c:numCache>
                <c:formatCode>"$"#,##0_);[Red]\("$"#,##0\)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CDC7-4005-86B4-CB4F50FD7A5A}"/>
            </c:ext>
          </c:extLst>
        </c:ser>
        <c:ser>
          <c:idx val="1"/>
          <c:order val="1"/>
          <c:tx>
            <c:strRef>
              <c:f>Sheet1!$Q$28</c:f>
              <c:strCache>
                <c:ptCount val="1"/>
                <c:pt idx="0">
                  <c:v>Count of Orders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DC7-4005-86B4-CB4F50FD7A5A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DC7-4005-86B4-CB4F50FD7A5A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DC7-4005-86B4-CB4F50FD7A5A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DC7-4005-86B4-CB4F50FD7A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Sheet1!$O$29:$O$32</c:f>
              <c:numCache>
                <c:formatCode>General</c:formatCode>
                <c:ptCount val="4"/>
              </c:numCache>
            </c:numRef>
          </c:cat>
          <c:val>
            <c:numRef>
              <c:f>Sheet1!$Q$29:$Q$32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1-CDC7-4005-86B4-CB4F50FD7A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/>
              <a:t>Top Quoted Customers of the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Sheet1!$P$34</c:f>
              <c:strCache>
                <c:ptCount val="1"/>
                <c:pt idx="0">
                  <c:v>∑ Value (NZD)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C4-449E-B6FB-5C3F3E2A585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C4-449E-B6FB-5C3F3E2A585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C4-449E-B6FB-5C3F3E2A585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C4-449E-B6FB-5C3F3E2A585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C4-449E-B6FB-5C3F3E2A585D}"/>
              </c:ext>
            </c:extLst>
          </c:dPt>
          <c:dLbls>
            <c:dLbl>
              <c:idx val="0"/>
              <c:layout>
                <c:manualLayout>
                  <c:x val="-2.7777777777777776E-2"/>
                  <c:y val="6.0185185185185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C4-449E-B6FB-5C3F3E2A585D}"/>
                </c:ext>
              </c:extLst>
            </c:dLbl>
            <c:dLbl>
              <c:idx val="1"/>
              <c:layout>
                <c:manualLayout>
                  <c:x val="-3.6111111111111163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C4-449E-B6FB-5C3F3E2A585D}"/>
                </c:ext>
              </c:extLst>
            </c:dLbl>
            <c:dLbl>
              <c:idx val="2"/>
              <c:layout>
                <c:manualLayout>
                  <c:x val="2.7777777777777776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C4-449E-B6FB-5C3F3E2A585D}"/>
                </c:ext>
              </c:extLst>
            </c:dLbl>
            <c:dLbl>
              <c:idx val="3"/>
              <c:layout>
                <c:manualLayout>
                  <c:x val="5.5555555555555532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C4-449E-B6FB-5C3F3E2A585D}"/>
                </c:ext>
              </c:extLst>
            </c:dLbl>
            <c:dLbl>
              <c:idx val="4"/>
              <c:layout>
                <c:manualLayout>
                  <c:x val="2.7777777777777776E-2"/>
                  <c:y val="5.5555555555555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C4-449E-B6FB-5C3F3E2A58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Sheet1!$O$35:$O$39</c:f>
              <c:numCache>
                <c:formatCode>General</c:formatCode>
                <c:ptCount val="5"/>
              </c:numCache>
            </c:numRef>
          </c:cat>
          <c:val>
            <c:numRef>
              <c:f>Sheet1!$P$35:$P$39</c:f>
              <c:numCache>
                <c:formatCode>"$"#,##0_);[Red]\("$"#,##0\)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EC4-449E-B6FB-5C3F3E2A585D}"/>
            </c:ext>
          </c:extLst>
        </c:ser>
        <c:ser>
          <c:idx val="1"/>
          <c:order val="1"/>
          <c:tx>
            <c:strRef>
              <c:f>Sheet1!$Q$34</c:f>
              <c:strCache>
                <c:ptCount val="1"/>
                <c:pt idx="0">
                  <c:v>Count of Quotes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EC4-449E-B6FB-5C3F3E2A585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EEC4-449E-B6FB-5C3F3E2A585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EEC4-449E-B6FB-5C3F3E2A585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EEC4-449E-B6FB-5C3F3E2A585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EEC4-449E-B6FB-5C3F3E2A58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Sheet1!$O$35:$O$39</c:f>
              <c:numCache>
                <c:formatCode>General</c:formatCode>
                <c:ptCount val="5"/>
              </c:numCache>
            </c:numRef>
          </c:cat>
          <c:val>
            <c:numRef>
              <c:f>Sheet1!$Q$35:$Q$39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5-EEC4-449E-B6FB-5C3F3E2A58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Sheet1!$P$41</c:f>
              <c:strCache>
                <c:ptCount val="1"/>
                <c:pt idx="0">
                  <c:v>∑ Value (NZD)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09-407C-A021-0FB55326B3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09-407C-A021-0FB55326B3C4}"/>
              </c:ext>
            </c:extLst>
          </c:dPt>
          <c:dLbls>
            <c:dLbl>
              <c:idx val="0"/>
              <c:layout>
                <c:manualLayout>
                  <c:x val="2.7777777777777779E-3"/>
                  <c:y val="-0.1342592592592592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09-407C-A021-0FB55326B3C4}"/>
                </c:ext>
              </c:extLst>
            </c:dLbl>
            <c:dLbl>
              <c:idx val="1"/>
              <c:layout>
                <c:manualLayout>
                  <c:x val="2.4999999999999949E-2"/>
                  <c:y val="0.1342592592592592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09-407C-A021-0FB55326B3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Sheet1!$O$42:$O$43</c:f>
              <c:strCache>
                <c:ptCount val="2"/>
                <c:pt idx="0">
                  <c:v>O</c:v>
                </c:pt>
                <c:pt idx="1">
                  <c:v>Q</c:v>
                </c:pt>
              </c:strCache>
            </c:strRef>
          </c:cat>
          <c:val>
            <c:numRef>
              <c:f>Sheet1!$P$42:$P$43</c:f>
              <c:numCache>
                <c:formatCode>_-[$$-1409]* #,##0_-;\-[$$-1409]* #,##0_-;_-[$$-1409]* "-"??_-;_-@_-</c:formatCode>
                <c:ptCount val="2"/>
                <c:pt idx="0">
                  <c:v>446917.5799999999</c:v>
                </c:pt>
                <c:pt idx="1">
                  <c:v>15334.830000000002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09-407C-A021-0FB55326B3C4}"/>
            </c:ext>
          </c:extLst>
        </c:ser>
        <c:ser>
          <c:idx val="1"/>
          <c:order val="1"/>
          <c:tx>
            <c:strRef>
              <c:f>Sheet1!$Q$41</c:f>
              <c:strCache>
                <c:ptCount val="1"/>
                <c:pt idx="0">
                  <c:v>Count of Q/O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309-407C-A021-0FB55326B3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309-407C-A021-0FB55326B3C4}"/>
              </c:ext>
            </c:extLst>
          </c:dPt>
          <c:dLbls>
            <c:dLbl>
              <c:idx val="0"/>
              <c:layout>
                <c:manualLayout>
                  <c:x val="0.1111111111111111"/>
                  <c:y val="3.240740740740732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09-407C-A021-0FB55326B3C4}"/>
                </c:ext>
              </c:extLst>
            </c:dLbl>
            <c:dLbl>
              <c:idx val="1"/>
              <c:layout>
                <c:manualLayout>
                  <c:x val="-0.18611111111111112"/>
                  <c:y val="3.703703703703695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09-407C-A021-0FB55326B3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Sheet1!$O$42:$O$43</c:f>
              <c:strCache>
                <c:ptCount val="2"/>
                <c:pt idx="0">
                  <c:v>O</c:v>
                </c:pt>
                <c:pt idx="1">
                  <c:v>Q</c:v>
                </c:pt>
              </c:strCache>
            </c:strRef>
          </c:cat>
          <c:val>
            <c:numRef>
              <c:f>Sheet1!$Q$42:$Q$43</c:f>
              <c:numCache>
                <c:formatCode>General</c:formatCode>
                <c:ptCount val="2"/>
                <c:pt idx="0">
                  <c:v>29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09-407C-A021-0FB55326B3C4}"/>
            </c:ext>
          </c:extLst>
        </c:ser>
        <c:ser>
          <c:idx val="2"/>
          <c:order val="2"/>
          <c:tx>
            <c:strRef>
              <c:f>Sheet1!$R$41</c:f>
              <c:strCache>
                <c:ptCount val="1"/>
                <c:pt idx="0">
                  <c:v> ∑ Time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09-407C-A021-0FB55326B3C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309-407C-A021-0FB55326B3C4}"/>
              </c:ext>
            </c:extLst>
          </c:dPt>
          <c:dLbls>
            <c:dLbl>
              <c:idx val="0"/>
              <c:layout>
                <c:manualLayout>
                  <c:x val="0.11666666666666657"/>
                  <c:y val="-0.3518518518518518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09-407C-A021-0FB55326B3C4}"/>
                </c:ext>
              </c:extLst>
            </c:dLbl>
            <c:dLbl>
              <c:idx val="1"/>
              <c:layout>
                <c:manualLayout>
                  <c:x val="-1.3888888888888888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09-407C-A021-0FB55326B3C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Sheet1!$O$42:$O$43</c:f>
              <c:strCache>
                <c:ptCount val="2"/>
                <c:pt idx="0">
                  <c:v>O</c:v>
                </c:pt>
                <c:pt idx="1">
                  <c:v>Q</c:v>
                </c:pt>
              </c:strCache>
            </c:strRef>
          </c:cat>
          <c:val>
            <c:numRef>
              <c:f>Sheet1!$R$42:$R$43</c:f>
              <c:numCache>
                <c:formatCode>General</c:formatCode>
                <c:ptCount val="2"/>
                <c:pt idx="0">
                  <c:v>32.550000000000004</c:v>
                </c:pt>
                <c:pt idx="1">
                  <c:v>10.15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09-407C-A021-0FB55326B3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 Time (hrs) vs Job Value (NZ$)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Summary_Charts!$B$20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Summary_Charts!$A$21:$A$56</c:f>
              <c:numCache>
                <c:formatCode>General</c:formatCode>
                <c:ptCount val="36"/>
              </c:numCache>
            </c:numRef>
          </c:xVal>
          <c:yVal>
            <c:numRef>
              <c:f>Summary_Charts!$B$21:$B$56</c:f>
              <c:numCache>
                <c:formatCode>General</c:formatCode>
                <c:ptCount val="3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92-4077-8463-F4C67797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431583"/>
        <c:axId val="1366427743"/>
      </c:scatterChart>
      <c:valAx>
        <c:axId val="136643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RM 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27743"/>
        <c:crosses val="autoZero"/>
        <c:crossBetween val="midCat"/>
      </c:valAx>
      <c:valAx>
        <c:axId val="136642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Value (NZ$)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3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(NZ$) Frequency Distribution — Orders vs Quotes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Order 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Sheet1!$Q$2:$Q$10</c:f>
              <c:numCache>
                <c:formatCode>General</c:formatCode>
                <c:ptCount val="9"/>
                <c:pt idx="0">
                  <c:v>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9-4C6F-B84B-F882FD2D7BF3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Quote Frequency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Sheet1!$P$2:$P$10</c:f>
              <c:strCache>
                <c:ptCount val="9"/>
                <c:pt idx="0">
                  <c:v>$0-500</c:v>
                </c:pt>
                <c:pt idx="1">
                  <c:v>$501-2000</c:v>
                </c:pt>
                <c:pt idx="2">
                  <c:v>$2001-5000</c:v>
                </c:pt>
                <c:pt idx="3">
                  <c:v>$5001-10000</c:v>
                </c:pt>
                <c:pt idx="4">
                  <c:v>$10001-15000</c:v>
                </c:pt>
                <c:pt idx="5">
                  <c:v>$15001-25000</c:v>
                </c:pt>
                <c:pt idx="6">
                  <c:v>$25001-50000</c:v>
                </c:pt>
                <c:pt idx="7">
                  <c:v>$50001-75000</c:v>
                </c:pt>
                <c:pt idx="8">
                  <c:v>$75001+</c:v>
                </c:pt>
              </c:strCache>
            </c:strRef>
          </c:cat>
          <c:val>
            <c:numRef>
              <c:f>Sheet1!$R$2:$R$10</c:f>
              <c:numCache>
                <c:formatCode>General</c:formatCode>
                <c:ptCount val="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9-4C6F-B84B-F882FD2D7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650271"/>
        <c:axId val="1104657471"/>
      </c:barChart>
      <c:catAx>
        <c:axId val="110465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Value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7471"/>
        <c:crosses val="autoZero"/>
        <c:auto val="1"/>
        <c:lblAlgn val="ctr"/>
        <c:lblOffset val="100"/>
        <c:noMultiLvlLbl val="0"/>
      </c:catAx>
      <c:valAx>
        <c:axId val="110465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Jobs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6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 Time (hrs) — Observed vs Normal 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Descriptive_Stats!$U$14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Descriptive_Stats!$T$15:$T$23</c:f>
              <c:numCache>
                <c:formatCode>General</c:formatCode>
                <c:ptCount val="9"/>
                <c:pt idx="0">
                  <c:v>0</c:v>
                </c:pt>
              </c:numCache>
            </c:numRef>
          </c:cat>
          <c:val>
            <c:numRef>
              <c:f>Descriptive_Stats!$U$15:$U$23</c:f>
              <c:numCache>
                <c:formatCode>General</c:formatCode>
                <c:ptCount val="9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5-4349-B17D-8C4DF95C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676271"/>
        <c:axId val="956670511"/>
      </c:barChart>
      <c:lineChart>
        <c:grouping val="standard"/>
        <c:varyColors val="0"/>
        <c:ser>
          <c:idx val="1"/>
          <c:order val="1"/>
          <c:tx>
            <c:strRef>
              <c:f>Descriptive_Stats!$V$14</c:f>
              <c:strCache>
                <c:ptCount val="1"/>
                <c:pt idx="0">
                  <c:v>Normal Expected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Descriptive_Stats!$T$15:$T$23</c:f>
              <c:numCache>
                <c:formatCode>General</c:formatCode>
                <c:ptCount val="9"/>
                <c:pt idx="0">
                  <c:v>0</c:v>
                </c:pt>
              </c:numCache>
            </c:numRef>
          </c:cat>
          <c:val>
            <c:numRef>
              <c:f>Descriptive_Stats!$V$15:$V$23</c:f>
              <c:numCache>
                <c:formatCode>General</c:formatCode>
                <c:ptCount val="9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55-4349-B17D-8C4DF95C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6676271"/>
        <c:axId val="956670511"/>
      </c:lineChart>
      <c:catAx>
        <c:axId val="95667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RM 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70511"/>
        <c:crosses val="autoZero"/>
        <c:auto val="1"/>
        <c:lblAlgn val="ctr"/>
        <c:lblOffset val="100"/>
        <c:noMultiLvlLbl val="0"/>
      </c:catAx>
      <c:valAx>
        <c:axId val="95667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Frequency (jobs per 0.5-hr bin)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67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Histogram — RM Time (hrs)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Descriptive_Stats!$U$14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5B7CC5"/>
            </a:solidFill>
            <a:ln>
              <a:noFill/>
            </a:ln>
            <a:effectLst/>
          </c:spPr>
          <c:invertIfNegative val="0"/>
          <c:cat>
            <c:numRef>
              <c:f>Descriptive_Stats!$T$15:$T$23</c:f>
              <c:numCache>
                <c:formatCode>General</c:formatCode>
                <c:ptCount val="9"/>
                <c:pt idx="0">
                  <c:v>0</c:v>
                </c:pt>
              </c:numCache>
            </c:numRef>
          </c:cat>
          <c:val>
            <c:numRef>
              <c:f>Descriptive_Stats!$U$15:$U$23</c:f>
              <c:numCache>
                <c:formatCode>General</c:formatCode>
                <c:ptCount val="9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1-47BE-B7D2-4C36704EB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1251970399"/>
        <c:axId val="1251966079"/>
      </c:barChart>
      <c:catAx>
        <c:axId val="125197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RM Time (hrs)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66079"/>
        <c:crosses val="autoZero"/>
        <c:auto val="1"/>
        <c:lblAlgn val="ctr"/>
        <c:lblOffset val="100"/>
        <c:noMultiLvlLbl val="0"/>
      </c:catAx>
      <c:valAx>
        <c:axId val="125196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Frequency (jobs per 1-hr bin)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97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RM Time (hrs) by Job Type</cx:v>
        </cx:txData>
      </cx:tx>
    </cx:title>
    <cx:plotArea>
      <cx:plotAreaRegion>
        <cx:series layoutId="boxWhisker" uniqueId="{ED7C8740-FE82-410A-AF29-E3CC1308E84F}">
          <cx:tx>
            <cx:txData>
              <cx:f>_xlchart.v1.10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= Order, Q = Quote)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Job Value (NZ$) by Job Type</cx:v>
        </cx:txData>
      </cx:tx>
    </cx:title>
    <cx:plotArea>
      <cx:plotAreaRegion>
        <cx:series layoutId="boxWhisker" uniqueId="{20052E9E-6C81-4F5C-9DE4-DEBEB6552BD8}">
          <cx:tx>
            <cx:txData>
              <cx:f>_xlchart.v1.4</cx:f>
              <cx:v>Value (NZ$)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= Order, Q = Quote)</cx:v>
            </cx:txData>
          </cx:tx>
        </cx:title>
        <cx:tickLabels/>
      </cx:axis>
      <cx:axis id="1">
        <cx:valScaling/>
        <cx:title>
          <cx:tx>
            <cx:txData>
              <cx:v>Value (NZ$)</cx:v>
            </cx:txData>
          </cx:tx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RM Time (hrs) by Order Value Band</cx:v>
        </cx:txData>
      </cx:tx>
    </cx:title>
    <cx:plotArea>
      <cx:plotAreaRegion>
        <cx:series layoutId="boxWhisker" uniqueId="{2D53CE2D-DD85-41E4-AF8D-7F368F5F6ABA}">
          <cx:tx>
            <cx:txData>
              <cx:f>_xlchart.v1.7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Order Value Band (NZ$)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RM Time (hrs) by Quote Value Band</cx:v>
        </cx:txData>
      </cx:tx>
    </cx:title>
    <cx:plotArea>
      <cx:plotAreaRegion>
        <cx:series layoutId="boxWhisker" uniqueId="{D458B938-0133-45F4-8110-746106CBA8B5}">
          <cx:tx>
            <cx:txData>
              <cx:f>_xlchart.v1.1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Quote Value Band (NZ$)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</cx:chartData>
  <cx:chart>
    <cx:title pos="t" align="ctr" overlay="0">
      <cx:tx>
        <cx:txData>
          <cx:v>Histogram — Job Value (NZ$)</cx:v>
        </cx:txData>
      </cx:tx>
    </cx:title>
    <cx:plotArea>
      <cx:plotAreaRegion>
        <cx:series layoutId="clusteredColumn" uniqueId="{6F3BCEFA-93A8-4E46-824D-D8309C7A7A06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Value (NZ$) bins</cx:v>
            </cx:txData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title pos="t" align="ctr" overlay="0">
      <cx:tx>
        <cx:txData>
          <cx:v>Boxplot — Job Value (NZ$) by Type</cx:v>
        </cx:txData>
      </cx:tx>
    </cx:title>
    <cx:plotArea>
      <cx:plotAreaRegion>
        <cx:series layoutId="boxWhisker" uniqueId="{4B7AFEF2-5435-40DC-84FD-489E4D90A889}">
          <cx:tx>
            <cx:txData>
              <cx:f>_xlchart.v1.17</cx:f>
              <cx:v>Value (NZ$)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/ Q)</cx:v>
            </cx:txData>
          </cx:tx>
        </cx:title>
        <cx:tickLabels/>
      </cx:axis>
      <cx:axis id="1">
        <cx:valScaling/>
        <cx:title>
          <cx:tx>
            <cx:txData>
              <cx:v>Value (NZ$)</cx:v>
            </cx:txData>
          </cx:tx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val">
        <cx:f>_xlchart.v1.15</cx:f>
      </cx:numDim>
    </cx:data>
  </cx:chartData>
  <cx:chart>
    <cx:title pos="t" align="ctr" overlay="0">
      <cx:tx>
        <cx:txData>
          <cx:v>Boxplot — RM Time (hrs) by Type</cx:v>
        </cx:txData>
      </cx:tx>
    </cx:title>
    <cx:plotArea>
      <cx:plotAreaRegion>
        <cx:series layoutId="boxWhisker" uniqueId="{F5166EE9-8F11-436F-A93C-10BFECF397F3}">
          <cx:tx>
            <cx:txData>
              <cx:f>_xlchart.v1.14</cx:f>
              <cx:v>RM Time (hrs)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Type (O / Q)</cx:v>
            </cx:txData>
          </cx:tx>
        </cx:title>
        <cx:tickLabels/>
      </cx:axis>
      <cx:axis id="1">
        <cx:valScaling/>
        <cx:title>
          <cx:tx>
            <cx:txData>
              <cx:v>RM Time (hrs)</cx:v>
            </cx:txData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microsoft.com/office/2014/relationships/chartEx" Target="../charts/chartEx4.xml"/><Relationship Id="rId5" Type="http://schemas.microsoft.com/office/2014/relationships/chartEx" Target="../charts/chartEx3.xml"/><Relationship Id="rId4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3175</xdr:colOff>
      <xdr:row>11</xdr:row>
      <xdr:rowOff>25400</xdr:rowOff>
    </xdr:from>
    <xdr:to>
      <xdr:col>21</xdr:col>
      <xdr:colOff>307975</xdr:colOff>
      <xdr:row>26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6AC8AA-5B07-9FAD-6A4A-147C2CC3A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0</xdr:row>
      <xdr:rowOff>31750</xdr:rowOff>
    </xdr:from>
    <xdr:to>
      <xdr:col>7</xdr:col>
      <xdr:colOff>314325</xdr:colOff>
      <xdr:row>15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4EF183-B98F-4D2B-673B-C0C274D28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6</xdr:col>
      <xdr:colOff>444500</xdr:colOff>
      <xdr:row>30</xdr:row>
      <xdr:rowOff>158750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031A494-516B-4001-9D67-FD75F2F52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6350</xdr:colOff>
      <xdr:row>31</xdr:row>
      <xdr:rowOff>115207</xdr:rowOff>
    </xdr:from>
    <xdr:to>
      <xdr:col>6</xdr:col>
      <xdr:colOff>431800</xdr:colOff>
      <xdr:row>47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C42ADD0-9703-4F00-B984-0866849B7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27</xdr:row>
      <xdr:rowOff>0</xdr:rowOff>
    </xdr:from>
    <xdr:to>
      <xdr:col>26</xdr:col>
      <xdr:colOff>304800</xdr:colOff>
      <xdr:row>41</xdr:row>
      <xdr:rowOff>152400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B552924-2860-42C3-B9F0-DBA45F85E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80CDA5-0607-71C1-F70D-71D2E955D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12</xdr:col>
      <xdr:colOff>0</xdr:colOff>
      <xdr:row>85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77FD83-E604-89EC-75FD-E2B2CE783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86</xdr:row>
      <xdr:rowOff>0</xdr:rowOff>
    </xdr:from>
    <xdr:to>
      <xdr:col>6</xdr:col>
      <xdr:colOff>0</xdr:colOff>
      <xdr:row>104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4BA8796-B517-4E11-A13D-4C95428BD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887700"/>
              <a:ext cx="53340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105</xdr:row>
      <xdr:rowOff>0</xdr:rowOff>
    </xdr:from>
    <xdr:to>
      <xdr:col>6</xdr:col>
      <xdr:colOff>0</xdr:colOff>
      <xdr:row>123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76C33D7-82F5-4343-FABE-3C2485ACEF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386550"/>
              <a:ext cx="53340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86</xdr:row>
      <xdr:rowOff>0</xdr:rowOff>
    </xdr:from>
    <xdr:to>
      <xdr:col>12</xdr:col>
      <xdr:colOff>0</xdr:colOff>
      <xdr:row>104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7E989749-DAD9-CA69-EAE6-1EFBB97577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15887700"/>
              <a:ext cx="70104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105</xdr:row>
      <xdr:rowOff>0</xdr:rowOff>
    </xdr:from>
    <xdr:to>
      <xdr:col>12</xdr:col>
      <xdr:colOff>0</xdr:colOff>
      <xdr:row>123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77BC3E10-4227-5A51-2BC6-2AD1BA9B3A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19386550"/>
              <a:ext cx="701040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6</xdr:col>
      <xdr:colOff>0</xdr:colOff>
      <xdr:row>42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20A55D-1DE3-DE38-9378-4D01621E75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495800"/>
              <a:ext cx="97472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61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AF0554C-EE65-A755-0468-8697EAD0F2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994650"/>
              <a:ext cx="97472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19050</xdr:colOff>
      <xdr:row>43</xdr:row>
      <xdr:rowOff>25400</xdr:rowOff>
    </xdr:from>
    <xdr:to>
      <xdr:col>12</xdr:col>
      <xdr:colOff>19050</xdr:colOff>
      <xdr:row>61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0D79404-0E37-4296-0409-09FB3525B6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66300" y="8020050"/>
              <a:ext cx="4692650" cy="331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62</xdr:row>
      <xdr:rowOff>0</xdr:rowOff>
    </xdr:from>
    <xdr:to>
      <xdr:col>12</xdr:col>
      <xdr:colOff>0</xdr:colOff>
      <xdr:row>83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3E36A-043D-B97A-0940-03F5472CD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77BA5C-A63D-B4EA-49D5-5233114D7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mad Ataul Morshed" id="{9A06D292-3DE7-4F03-9230-001BCA7A946E}" userId="S::22105170@student.westernsydney.edu.au::2651e70f-2994-46e0-952e-fad598477ba4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Ataul Morshed" refreshedDate="46165.794854513886" createdVersion="8" refreshedVersion="8" minRefreshableVersion="3" recordCount="101" xr:uid="{7ADF0C88-5B58-4BE2-A78B-F08620D0D5B3}">
  <cacheSource type="worksheet">
    <worksheetSource ref="A7:W108" sheet="Production_Center"/>
  </cacheSource>
  <cacheFields count="23">
    <cacheField name="Date" numFmtId="165">
      <sharedItems containsNonDate="0" containsDate="1" containsString="0" containsBlank="1" minDate="1899-12-30T00:00:00" maxDate="1899-12-31T00:00:00" count="2">
        <m/>
        <d v="1899-12-30T00:00:00"/>
      </sharedItems>
    </cacheField>
    <cacheField name="Done" numFmtId="9">
      <sharedItems containsSemiMixedTypes="0" containsString="0" containsNumber="1" containsInteger="1" minValue="1" maxValue="1"/>
    </cacheField>
    <cacheField name="Job No" numFmtId="0">
      <sharedItems containsSemiMixedTypes="0" containsString="0" containsNumber="1" containsInteger="1" minValue="1" maxValue="1"/>
    </cacheField>
    <cacheField name="Type" numFmtId="0">
      <sharedItems containsNonDate="0" containsString="0" containsBlank="1" count="1">
        <m/>
      </sharedItems>
    </cacheField>
    <cacheField name="Quote/_x000a_Order No." numFmtId="0">
      <sharedItems containsNonDate="0" containsString="0" containsBlank="1"/>
    </cacheField>
    <cacheField name="Parts" numFmtId="0">
      <sharedItems containsString="0" containsBlank="1" containsNumber="1" containsInteger="1" minValue="0" maxValue="0"/>
    </cacheField>
    <cacheField name="Parts_x000a_Cmltd" numFmtId="0">
      <sharedItems containsSemiMixedTypes="0" containsString="0" containsNumber="1" containsInteger="1" minValue="0" maxValue="0"/>
    </cacheField>
    <cacheField name="Parts_x000a_Done" numFmtId="0">
      <sharedItems containsSemiMixedTypes="0" containsString="0" containsNumber="1" containsInteger="1" minValue="0" maxValue="0"/>
    </cacheField>
    <cacheField name="Parts _x000a_Acted" numFmtId="0">
      <sharedItems containsSemiMixedTypes="0" containsString="0" containsNumber="1" containsInteger="1" minValue="0" maxValue="0"/>
    </cacheField>
    <cacheField name="Solo_x000a_Parts" numFmtId="0">
      <sharedItems containsSemiMixedTypes="0" containsString="0" containsNumber="1" containsInteger="1" minValue="0" maxValue="0"/>
    </cacheField>
    <cacheField name="Value (NZ$)" numFmtId="168">
      <sharedItems containsSemiMixedTypes="0" containsString="0" containsNumber="1" containsInteger="1" minValue="0" maxValue="0"/>
    </cacheField>
    <cacheField name="Customer" numFmtId="0">
      <sharedItems containsNonDate="0" containsString="0" containsBlank="1"/>
    </cacheField>
    <cacheField name="Done By" numFmtId="0">
      <sharedItems containsNonDate="0" containsString="0" containsBlank="1" count="1">
        <m/>
      </sharedItems>
    </cacheField>
    <cacheField name="QC By" numFmtId="0">
      <sharedItems containsNonDate="0" containsString="0" containsBlank="1"/>
    </cacheField>
    <cacheField name="Grp Work" numFmtId="0">
      <sharedItems containsNonDate="0" containsString="0" containsBlank="1"/>
    </cacheField>
    <cacheField name="SDL time" numFmtId="0">
      <sharedItems containsNonDate="0" containsString="0" containsBlank="1"/>
    </cacheField>
    <cacheField name="Sggstd time" numFmtId="2">
      <sharedItems containsSemiMixedTypes="0" containsString="0" containsNumber="1" minValue="0.16666666666666666" maxValue="0.16666666666666666"/>
    </cacheField>
    <cacheField name="Making Time" numFmtId="0">
      <sharedItems containsSemiMixedTypes="0" containsString="0" containsNumber="1" containsInteger="1" minValue="0" maxValue="0"/>
    </cacheField>
    <cacheField name="QC Time" numFmtId="2">
      <sharedItems containsNonDate="0" containsString="0" containsBlank="1"/>
    </cacheField>
    <cacheField name="Work time" numFmtId="2">
      <sharedItems containsSemiMixedTypes="0" containsString="0" containsNumber="1" containsInteger="1" minValue="0" maxValue="0"/>
    </cacheField>
    <cacheField name="RM Time" numFmtId="2">
      <sharedItems containsSemiMixedTypes="0" containsString="0" containsNumber="1" containsInteger="1" minValue="0" maxValue="0"/>
    </cacheField>
    <cacheField name="Priority" numFmtId="0">
      <sharedItems/>
    </cacheField>
    <cacheField name="Difficulty" numFmtId="0">
      <sharedItems count="1">
        <s v="Bas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ad Ataul Morshed" refreshedDate="46165.794854745371" createdVersion="8" refreshedVersion="8" minRefreshableVersion="3" recordCount="101" xr:uid="{073BABBE-B2DA-46A4-927C-5276A9A318B1}">
  <cacheSource type="worksheet">
    <worksheetSource ref="D7:W108" sheet="Production_Center"/>
  </cacheSource>
  <cacheFields count="20">
    <cacheField name="Type" numFmtId="0">
      <sharedItems containsNonDate="0" containsString="0" containsBlank="1" count="1">
        <m/>
      </sharedItems>
    </cacheField>
    <cacheField name="Quote/_x000a_Order No." numFmtId="0">
      <sharedItems containsNonDate="0" containsString="0" containsBlank="1"/>
    </cacheField>
    <cacheField name="Parts" numFmtId="0">
      <sharedItems containsString="0" containsBlank="1" containsNumber="1" containsInteger="1" minValue="0" maxValue="0"/>
    </cacheField>
    <cacheField name="Parts_x000a_Cmltd" numFmtId="0">
      <sharedItems containsSemiMixedTypes="0" containsString="0" containsNumber="1" containsInteger="1" minValue="0" maxValue="0"/>
    </cacheField>
    <cacheField name="Parts_x000a_Done" numFmtId="0">
      <sharedItems containsSemiMixedTypes="0" containsString="0" containsNumber="1" containsInteger="1" minValue="0" maxValue="0"/>
    </cacheField>
    <cacheField name="Parts _x000a_Acted" numFmtId="0">
      <sharedItems containsSemiMixedTypes="0" containsString="0" containsNumber="1" containsInteger="1" minValue="0" maxValue="0"/>
    </cacheField>
    <cacheField name="Solo_x000a_Parts" numFmtId="0">
      <sharedItems containsSemiMixedTypes="0" containsString="0" containsNumber="1" containsInteger="1" minValue="0" maxValue="0"/>
    </cacheField>
    <cacheField name="Value (NZ$)" numFmtId="168">
      <sharedItems containsSemiMixedTypes="0" containsString="0" containsNumber="1" containsInteger="1" minValue="0" maxValue="0"/>
    </cacheField>
    <cacheField name="Customer" numFmtId="0">
      <sharedItems containsNonDate="0" containsString="0" containsBlank="1" count="1">
        <m/>
      </sharedItems>
    </cacheField>
    <cacheField name="Done By" numFmtId="0">
      <sharedItems containsNonDate="0" containsString="0" containsBlank="1"/>
    </cacheField>
    <cacheField name="QC By" numFmtId="0">
      <sharedItems containsNonDate="0" containsString="0" containsBlank="1"/>
    </cacheField>
    <cacheField name="Grp Work" numFmtId="0">
      <sharedItems containsNonDate="0" containsString="0" containsBlank="1"/>
    </cacheField>
    <cacheField name="SDL time" numFmtId="0">
      <sharedItems containsNonDate="0" containsString="0" containsBlank="1"/>
    </cacheField>
    <cacheField name="Sggstd time" numFmtId="2">
      <sharedItems containsSemiMixedTypes="0" containsString="0" containsNumber="1" minValue="0.16666666666666666" maxValue="0.16666666666666666"/>
    </cacheField>
    <cacheField name="Making Time" numFmtId="0">
      <sharedItems containsSemiMixedTypes="0" containsString="0" containsNumber="1" containsInteger="1" minValue="0" maxValue="0"/>
    </cacheField>
    <cacheField name="QC Time" numFmtId="2">
      <sharedItems containsNonDate="0" containsString="0" containsBlank="1"/>
    </cacheField>
    <cacheField name="Work time" numFmtId="2">
      <sharedItems containsSemiMixedTypes="0" containsString="0" containsNumber="1" containsInteger="1" minValue="0" maxValue="0"/>
    </cacheField>
    <cacheField name="RM Time" numFmtId="2">
      <sharedItems containsSemiMixedTypes="0" containsString="0" containsNumber="1" containsInteger="1" minValue="0" maxValue="0"/>
    </cacheField>
    <cacheField name="Priority" numFmtId="0">
      <sharedItems/>
    </cacheField>
    <cacheField name="Difficul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m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  <r>
    <x v="1"/>
    <n v="1"/>
    <n v="1"/>
    <x v="0"/>
    <m/>
    <n v="0"/>
    <n v="0"/>
    <n v="0"/>
    <n v="0"/>
    <n v="0"/>
    <n v="0"/>
    <m/>
    <x v="0"/>
    <m/>
    <m/>
    <m/>
    <n v="0.16666666666666666"/>
    <n v="0"/>
    <m/>
    <n v="0"/>
    <n v="0"/>
    <s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m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  <r>
    <x v="0"/>
    <m/>
    <n v="0"/>
    <n v="0"/>
    <n v="0"/>
    <n v="0"/>
    <n v="0"/>
    <n v="0"/>
    <x v="0"/>
    <m/>
    <m/>
    <m/>
    <m/>
    <n v="0.16666666666666666"/>
    <n v="0"/>
    <m/>
    <n v="0"/>
    <n v="0"/>
    <s v="2"/>
    <s v="Bas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A000E-9000-434B-A88E-33B606E3098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T3:V6" firstHeaderRow="0" firstDataRow="1" firstDataCol="1"/>
  <pivotFields count="23">
    <pivotField axis="axisRow" numFmtId="165" showAll="0">
      <items count="3">
        <item sd="0" x="0"/>
        <item sd="0" x="1"/>
        <item t="default"/>
      </items>
    </pivotField>
    <pivotField numFmtId="9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6" showAll="0"/>
    <pivotField showAll="0"/>
    <pivotField axis="axisRow" showAll="0">
      <items count="2">
        <item sd="0" x="0"/>
        <item t="default"/>
      </items>
    </pivotField>
    <pivotField showAll="0"/>
    <pivotField showAll="0"/>
    <pivotField showAll="0"/>
    <pivotField numFmtId="2" showAll="0"/>
    <pivotField dataField="1" showAll="0"/>
    <pivotField showAll="0"/>
    <pivotField numFmtId="2" showAll="0"/>
    <pivotField showAll="0"/>
    <pivotField showAll="0"/>
    <pivotField axis="axisRow" showAll="0">
      <items count="2">
        <item x="0"/>
        <item t="default"/>
      </items>
    </pivotField>
  </pivotFields>
  <rowFields count="4">
    <field x="0"/>
    <field x="12"/>
    <field x="3"/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∑ ActualTime" fld="17" baseField="0" baseItem="0" numFmtId="2"/>
    <dataField name="∑ Value (NZ$)" fld="10" baseField="9" baseItem="2" numFmtId="168"/>
  </dataFields>
  <formats count="2">
    <format dxfId="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DC1DE-3D4F-4D19-9BF2-31C6F7B3288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4">
  <location ref="I2:N5" firstHeaderRow="0" firstDataRow="1" firstDataCol="1"/>
  <pivotFields count="20">
    <pivotField axis="axisRow" showAll="0">
      <items count="2"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68" showAll="0"/>
    <pivotField axis="axisRow" showAll="0" sortType="de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dataField="1" showAll="0"/>
    <pivotField showAll="0"/>
    <pivotField showAll="0"/>
  </pivotFields>
  <rowFields count="2">
    <field x="0"/>
    <field x="8"/>
  </rowFields>
  <rowItems count="3">
    <i>
      <x/>
    </i>
    <i r="1"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∑ Value (NZD)" fld="7" baseField="0" baseItem="0" numFmtId="168"/>
    <dataField name="Count of Q/O" fld="1" subtotal="count" baseField="0" baseItem="0"/>
    <dataField name="% of Total Value" fld="7" showDataAs="percentOfCol" baseField="7" baseItem="0" numFmtId="10"/>
    <dataField name=" ∑ Time" fld="17" baseField="0" baseItem="0"/>
    <dataField name="% of ∑ Time" fld="17" showDataAs="percentOfTotal" baseField="0" baseItem="1" numFmtId="10"/>
  </dataFields>
  <chartFormats count="2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6-05-21T11:21:24.84" personId="{9A06D292-3DE7-4F03-9230-001BCA7A946E}" id="{6955E86D-092E-4FDB-A5A2-C42E96460C5B}">
    <text>The total number of parts requested by the customer in the quote/order as of today.</text>
  </threadedComment>
  <threadedComment ref="G7" dT="2026-05-21T11:22:12.35" personId="{9A06D292-3DE7-4F03-9230-001BCA7A946E}" id="{19B390E1-BED8-4C27-8047-FC6661DA4BEF}">
    <text>The aggregated number of parts that have reached 100% completion from day 1 to today.</text>
  </threadedComment>
  <threadedComment ref="H7" dT="2026-05-21T11:22:36.18" personId="{9A06D292-3DE7-4F03-9230-001BCA7A946E}" id="{2253B981-D05F-4D35-8A1F-0334299355EE}">
    <text>The count of parts that reached completion just today</text>
  </threadedComment>
  <threadedComment ref="I7" dT="2026-05-21T11:23:08.09" personId="{9A06D292-3DE7-4F03-9230-001BCA7A946E}" id="{F7BADDD8-EB18-4DC3-8810-577DB9995F80}">
    <text>The count of parts we worked on today, finished or not!</text>
  </threadedComment>
  <threadedComment ref="J7" dT="2026-05-21T11:24:59.65" personId="{9A06D292-3DE7-4F03-9230-001BCA7A946E}" id="{608B4083-7F4F-4E27-BA1A-051E5072F870}">
    <text>Number of parts one person totally finished today on their own without any assistance (100% completion!).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4EB353-AFC2-479B-A13C-74D5CB686E1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ed20bf-dd91-4771-bf49-05385ac0363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zoomScale="96" zoomScaleNormal="96" workbookViewId="0">
      <selection activeCell="X10" sqref="X10"/>
    </sheetView>
  </sheetViews>
  <sheetFormatPr defaultColWidth="9.1796875" defaultRowHeight="14.5" x14ac:dyDescent="0.35"/>
  <cols>
    <col min="1" max="1" width="6.81640625" style="1" customWidth="1"/>
    <col min="2" max="2" width="7.453125" style="1" customWidth="1"/>
    <col min="3" max="3" width="13.1796875" style="1" customWidth="1"/>
    <col min="4" max="4" width="7.81640625" style="1" customWidth="1"/>
    <col min="5" max="5" width="9.54296875" style="1" customWidth="1"/>
    <col min="6" max="6" width="9.1796875" style="1" customWidth="1"/>
    <col min="7" max="7" width="8.54296875" style="1" customWidth="1"/>
    <col min="8" max="8" width="7.81640625" style="1" bestFit="1" customWidth="1"/>
    <col min="9" max="9" width="10.26953125" style="1" bestFit="1" customWidth="1"/>
    <col min="10" max="10" width="11.26953125" style="1" bestFit="1" customWidth="1"/>
    <col min="11" max="11" width="4.81640625" style="1" bestFit="1" customWidth="1"/>
    <col min="12" max="12" width="4" style="1" bestFit="1" customWidth="1"/>
    <col min="13" max="13" width="6.81640625" style="1" bestFit="1" customWidth="1"/>
    <col min="14" max="14" width="5.54296875" style="1" bestFit="1" customWidth="1"/>
    <col min="15" max="15" width="7.81640625" style="1" customWidth="1"/>
    <col min="16" max="16" width="4.81640625" style="1" bestFit="1" customWidth="1"/>
    <col min="17" max="17" width="4.54296875" style="1" bestFit="1" customWidth="1"/>
    <col min="18" max="18" width="11.26953125" style="1" bestFit="1" customWidth="1"/>
    <col min="19" max="19" width="6.1796875" style="1" customWidth="1"/>
    <col min="20" max="20" width="12.453125" style="1" bestFit="1" customWidth="1"/>
    <col min="21" max="21" width="11.7265625" style="1" bestFit="1" customWidth="1"/>
    <col min="22" max="22" width="12.1796875" style="1" bestFit="1" customWidth="1"/>
    <col min="23" max="23" width="10.81640625" style="1" bestFit="1" customWidth="1"/>
    <col min="24" max="25" width="12.1796875" style="1" bestFit="1" customWidth="1"/>
    <col min="26" max="26" width="13.54296875" style="1" bestFit="1" customWidth="1"/>
    <col min="27" max="27" width="11.1796875" style="1" bestFit="1" customWidth="1"/>
    <col min="28" max="28" width="13.453125" style="1" bestFit="1" customWidth="1"/>
    <col min="29" max="29" width="9.1796875" style="1"/>
    <col min="30" max="30" width="10.453125" style="1" bestFit="1" customWidth="1"/>
    <col min="31" max="31" width="10" style="1" bestFit="1" customWidth="1"/>
    <col min="32" max="32" width="5.453125" style="1" bestFit="1" customWidth="1"/>
    <col min="33" max="33" width="7.453125" style="1" bestFit="1" customWidth="1"/>
    <col min="34" max="34" width="7" style="1" bestFit="1" customWidth="1"/>
    <col min="35" max="16384" width="9.1796875" style="1"/>
  </cols>
  <sheetData>
    <row r="1" spans="1:34" x14ac:dyDescent="0.35">
      <c r="A1" s="1" t="s">
        <v>203</v>
      </c>
      <c r="B1" s="1" t="str">
        <f>"2026-"&amp;NETWORKDAYS(46030, C1, X2:X13)</f>
        <v>2026--32878</v>
      </c>
      <c r="C1" s="54">
        <f>Production_Center!A8</f>
        <v>0</v>
      </c>
      <c r="G1" s="3" t="s">
        <v>0</v>
      </c>
      <c r="J1" s="2"/>
      <c r="K1" s="3"/>
      <c r="L1" s="3"/>
      <c r="M1" s="139"/>
      <c r="N1" s="3"/>
      <c r="O1" s="3"/>
      <c r="P1" s="3"/>
      <c r="R1" s="2"/>
      <c r="X1" s="3" t="s">
        <v>191</v>
      </c>
    </row>
    <row r="2" spans="1:34" ht="23.5" thickBot="1" x14ac:dyDescent="0.4">
      <c r="C2" s="101" t="s">
        <v>109</v>
      </c>
      <c r="D2" s="101" t="s">
        <v>117</v>
      </c>
      <c r="E2" s="101" t="s">
        <v>110</v>
      </c>
      <c r="F2" s="101" t="s">
        <v>111</v>
      </c>
      <c r="G2" s="101" t="s">
        <v>112</v>
      </c>
      <c r="H2" s="102" t="s">
        <v>108</v>
      </c>
      <c r="I2" s="102" t="s">
        <v>113</v>
      </c>
      <c r="X2" s="138">
        <v>46048</v>
      </c>
      <c r="Y2" s="1" t="s">
        <v>192</v>
      </c>
    </row>
    <row r="3" spans="1:34" ht="15" thickBot="1" x14ac:dyDescent="0.4">
      <c r="C3" s="103" t="s">
        <v>115</v>
      </c>
      <c r="D3" s="104">
        <v>2</v>
      </c>
      <c r="E3" s="104">
        <f>D3</f>
        <v>2</v>
      </c>
      <c r="F3" s="104">
        <f>E3*8</f>
        <v>16</v>
      </c>
      <c r="G3" s="104">
        <f>IF($I$19=0, F3, MIN($H$19, F3))</f>
        <v>16</v>
      </c>
      <c r="H3" s="104">
        <f>IF(AND($G$5&lt;=$F$5,$I$19=0),F3,G3)</f>
        <v>16</v>
      </c>
      <c r="I3" s="109">
        <f>IF($H$19&lt;=$F$6,(((D3/D5)*$H$19)/F3),1)</f>
        <v>0</v>
      </c>
      <c r="T3" s="25" t="s">
        <v>1</v>
      </c>
      <c r="U3" t="s">
        <v>99</v>
      </c>
      <c r="V3" t="s">
        <v>75</v>
      </c>
      <c r="W3"/>
      <c r="X3" s="138">
        <v>46059</v>
      </c>
      <c r="Y3" t="s">
        <v>193</v>
      </c>
      <c r="Z3"/>
      <c r="AA3"/>
      <c r="AB3"/>
      <c r="AC3" s="3"/>
      <c r="AD3" s="3"/>
      <c r="AE3" s="3"/>
      <c r="AF3" s="3"/>
      <c r="AG3" s="3"/>
      <c r="AH3" s="3"/>
    </row>
    <row r="4" spans="1:34" ht="15" thickBot="1" x14ac:dyDescent="0.4">
      <c r="C4" s="105" t="s">
        <v>116</v>
      </c>
      <c r="D4" s="106">
        <v>3</v>
      </c>
      <c r="E4" s="106">
        <f>IF(AND(H19&lt;=F5,I19=0),D4,ROUNDUP(G4/8,0))</f>
        <v>3</v>
      </c>
      <c r="F4" s="106">
        <f>3*8</f>
        <v>24</v>
      </c>
      <c r="G4" s="113">
        <f>IF(H19=0,F4,H19 - G3)</f>
        <v>24</v>
      </c>
      <c r="H4" s="113">
        <f>IF(AND($G$5&lt;=$F$5,$I$19=0),F4,G4)</f>
        <v>24</v>
      </c>
      <c r="I4" s="110">
        <f>IF($H$19&lt;=$F$6,(((D4/D5)*$H$19)/F4),(F4+($H$19-F5))/F4)</f>
        <v>0</v>
      </c>
      <c r="T4" s="27" t="s">
        <v>190</v>
      </c>
      <c r="U4" s="17">
        <v>0</v>
      </c>
      <c r="V4" s="51">
        <v>0</v>
      </c>
      <c r="W4"/>
      <c r="X4" s="138">
        <v>46101</v>
      </c>
      <c r="Y4" t="s">
        <v>194</v>
      </c>
      <c r="Z4"/>
      <c r="AA4"/>
      <c r="AB4"/>
    </row>
    <row r="5" spans="1:34" ht="15" thickBot="1" x14ac:dyDescent="0.4">
      <c r="C5" s="107" t="s">
        <v>61</v>
      </c>
      <c r="D5" s="108">
        <f>SUM(D3:D4)</f>
        <v>5</v>
      </c>
      <c r="E5" s="108">
        <f>SUM(E3:E4)</f>
        <v>5</v>
      </c>
      <c r="F5" s="108">
        <v>40</v>
      </c>
      <c r="G5" s="112">
        <f>$H$19</f>
        <v>0</v>
      </c>
      <c r="H5" s="112">
        <f>SUM(H3:H4)</f>
        <v>40</v>
      </c>
      <c r="I5" s="111">
        <f>$H$19/$F$5</f>
        <v>0</v>
      </c>
      <c r="T5" s="27">
        <v>0</v>
      </c>
      <c r="U5" s="17">
        <v>0</v>
      </c>
      <c r="V5" s="51">
        <v>0</v>
      </c>
      <c r="W5"/>
      <c r="X5" s="138">
        <v>46114</v>
      </c>
      <c r="Y5" t="s">
        <v>195</v>
      </c>
      <c r="Z5"/>
      <c r="AA5"/>
      <c r="AB5"/>
    </row>
    <row r="6" spans="1:34" ht="15" customHeight="1" thickBot="1" x14ac:dyDescent="0.4">
      <c r="C6" s="105" t="s">
        <v>114</v>
      </c>
      <c r="D6" s="106">
        <v>5</v>
      </c>
      <c r="E6" s="106">
        <v>5</v>
      </c>
      <c r="F6" s="106">
        <v>40</v>
      </c>
      <c r="G6" s="113">
        <f>$G$19</f>
        <v>0</v>
      </c>
      <c r="H6" s="113">
        <f>IF(G6&lt;F6,F6,G6)</f>
        <v>40</v>
      </c>
      <c r="I6" s="110">
        <f>$G$19/$F$5</f>
        <v>0</v>
      </c>
      <c r="R6" s="71"/>
      <c r="T6" s="27" t="s">
        <v>5</v>
      </c>
      <c r="U6" s="17">
        <v>0</v>
      </c>
      <c r="V6" s="51">
        <v>0</v>
      </c>
      <c r="W6"/>
      <c r="X6" s="138">
        <v>46118</v>
      </c>
      <c r="Y6" t="s">
        <v>196</v>
      </c>
      <c r="Z6"/>
      <c r="AA6"/>
      <c r="AB6"/>
    </row>
    <row r="7" spans="1:34" ht="15" customHeight="1" thickBot="1" x14ac:dyDescent="0.4">
      <c r="R7" s="71"/>
      <c r="T7"/>
      <c r="U7"/>
      <c r="V7"/>
      <c r="W7"/>
      <c r="X7" s="138">
        <v>46139</v>
      </c>
      <c r="Y7" t="s">
        <v>197</v>
      </c>
      <c r="Z7"/>
      <c r="AA7"/>
      <c r="AB7"/>
    </row>
    <row r="8" spans="1:34" x14ac:dyDescent="0.35">
      <c r="A8" s="157" t="s">
        <v>82</v>
      </c>
      <c r="B8" s="158"/>
      <c r="C8" s="158"/>
      <c r="D8" s="158"/>
      <c r="E8" s="158"/>
      <c r="F8" s="158"/>
      <c r="G8" s="158"/>
      <c r="H8" s="158"/>
      <c r="I8" s="159"/>
      <c r="J8" s="157" t="s">
        <v>82</v>
      </c>
      <c r="K8" s="158"/>
      <c r="L8" s="158"/>
      <c r="M8" s="158"/>
      <c r="N8" s="158"/>
      <c r="O8" s="158"/>
      <c r="P8" s="158"/>
      <c r="Q8" s="158"/>
      <c r="R8" s="159"/>
      <c r="T8"/>
      <c r="U8"/>
      <c r="V8"/>
      <c r="W8"/>
      <c r="X8" s="138">
        <v>46170</v>
      </c>
      <c r="Y8" t="s">
        <v>198</v>
      </c>
      <c r="Z8"/>
      <c r="AA8"/>
      <c r="AB8"/>
    </row>
    <row r="9" spans="1:34" ht="15" thickBot="1" x14ac:dyDescent="0.4">
      <c r="A9" s="160"/>
      <c r="B9" s="161"/>
      <c r="C9" s="161"/>
      <c r="D9" s="161"/>
      <c r="E9" s="161"/>
      <c r="F9" s="161"/>
      <c r="G9" s="161"/>
      <c r="H9" s="161"/>
      <c r="I9" s="162"/>
      <c r="J9" s="160"/>
      <c r="K9" s="161"/>
      <c r="L9" s="161"/>
      <c r="M9" s="161"/>
      <c r="N9" s="161"/>
      <c r="O9" s="161"/>
      <c r="P9" s="161"/>
      <c r="Q9" s="161"/>
      <c r="R9" s="162"/>
      <c r="T9"/>
      <c r="U9"/>
      <c r="V9"/>
      <c r="W9"/>
      <c r="X9" s="138">
        <v>46171</v>
      </c>
      <c r="Y9" t="s">
        <v>198</v>
      </c>
      <c r="Z9"/>
      <c r="AA9"/>
      <c r="AB9"/>
    </row>
    <row r="10" spans="1:34" ht="15.75" customHeight="1" thickBot="1" x14ac:dyDescent="0.4">
      <c r="A10" s="151" t="s">
        <v>77</v>
      </c>
      <c r="B10" s="152"/>
      <c r="C10" s="152"/>
      <c r="D10" s="152"/>
      <c r="E10" s="152"/>
      <c r="F10" s="152"/>
      <c r="G10" s="152"/>
      <c r="H10" s="152"/>
      <c r="I10" s="153"/>
      <c r="J10" s="154" t="s">
        <v>3</v>
      </c>
      <c r="K10" s="155"/>
      <c r="L10" s="155"/>
      <c r="M10" s="155"/>
      <c r="N10" s="155"/>
      <c r="O10" s="155"/>
      <c r="P10" s="155"/>
      <c r="Q10" s="155"/>
      <c r="R10" s="156"/>
      <c r="T10"/>
      <c r="U10"/>
      <c r="V10"/>
      <c r="W10"/>
      <c r="X10" s="138">
        <v>46174</v>
      </c>
      <c r="Y10" t="s">
        <v>199</v>
      </c>
      <c r="Z10"/>
      <c r="AA10"/>
      <c r="AB10"/>
    </row>
    <row r="11" spans="1:34" ht="16" customHeight="1" x14ac:dyDescent="0.35">
      <c r="A11" s="78" t="s">
        <v>94</v>
      </c>
      <c r="B11" s="78" t="s">
        <v>84</v>
      </c>
      <c r="C11" s="78" t="s">
        <v>107</v>
      </c>
      <c r="D11" s="78" t="s">
        <v>86</v>
      </c>
      <c r="E11" s="78" t="s">
        <v>87</v>
      </c>
      <c r="F11" s="78" t="s">
        <v>88</v>
      </c>
      <c r="G11" s="78" t="s">
        <v>83</v>
      </c>
      <c r="H11" s="78" t="s">
        <v>91</v>
      </c>
      <c r="I11" s="78" t="s">
        <v>92</v>
      </c>
      <c r="J11" s="61" t="s">
        <v>94</v>
      </c>
      <c r="K11" s="61" t="s">
        <v>84</v>
      </c>
      <c r="L11" s="62" t="s">
        <v>107</v>
      </c>
      <c r="M11" s="62" t="s">
        <v>86</v>
      </c>
      <c r="N11" s="62" t="s">
        <v>87</v>
      </c>
      <c r="O11" s="62" t="s">
        <v>88</v>
      </c>
      <c r="P11" s="62" t="s">
        <v>83</v>
      </c>
      <c r="Q11" s="62" t="s">
        <v>91</v>
      </c>
      <c r="R11" s="62" t="s">
        <v>92</v>
      </c>
      <c r="T11"/>
      <c r="U11"/>
      <c r="V11"/>
      <c r="W11"/>
      <c r="X11" s="138">
        <v>46192</v>
      </c>
      <c r="Y11" t="s">
        <v>200</v>
      </c>
      <c r="Z11"/>
      <c r="AA11"/>
      <c r="AB11"/>
    </row>
    <row r="12" spans="1:34" ht="15" customHeight="1" thickBot="1" x14ac:dyDescent="0.4">
      <c r="A12" s="81" t="s">
        <v>85</v>
      </c>
      <c r="B12" s="63" t="s">
        <v>85</v>
      </c>
      <c r="C12" s="63" t="s">
        <v>85</v>
      </c>
      <c r="D12" s="63" t="s">
        <v>85</v>
      </c>
      <c r="E12" s="63" t="s">
        <v>76</v>
      </c>
      <c r="F12" s="63" t="s">
        <v>76</v>
      </c>
      <c r="G12" s="63" t="s">
        <v>84</v>
      </c>
      <c r="H12" s="63" t="s">
        <v>89</v>
      </c>
      <c r="I12" s="63" t="s">
        <v>93</v>
      </c>
      <c r="J12" s="63" t="s">
        <v>85</v>
      </c>
      <c r="K12" s="63" t="s">
        <v>85</v>
      </c>
      <c r="L12" s="64" t="s">
        <v>85</v>
      </c>
      <c r="M12" s="64" t="s">
        <v>85</v>
      </c>
      <c r="N12" s="64" t="s">
        <v>76</v>
      </c>
      <c r="O12" s="64" t="s">
        <v>76</v>
      </c>
      <c r="P12" s="64" t="s">
        <v>84</v>
      </c>
      <c r="Q12" s="64" t="s">
        <v>89</v>
      </c>
      <c r="R12" s="64" t="s">
        <v>93</v>
      </c>
      <c r="T12"/>
      <c r="U12"/>
      <c r="V12"/>
      <c r="W12"/>
      <c r="X12" s="138">
        <v>46321</v>
      </c>
      <c r="Y12" t="s">
        <v>201</v>
      </c>
      <c r="Z12"/>
      <c r="AA12"/>
      <c r="AB12"/>
    </row>
    <row r="13" spans="1:34" ht="15" customHeight="1" thickBot="1" x14ac:dyDescent="0.4">
      <c r="A13" s="97">
        <f>Production_Center!$F$113</f>
        <v>0</v>
      </c>
      <c r="B13" s="97">
        <f>Production_Center!$C$113</f>
        <v>0</v>
      </c>
      <c r="C13" s="98">
        <f>Production_Center!$D$113</f>
        <v>0</v>
      </c>
      <c r="D13" s="99">
        <f>Production_Center!$E$113</f>
        <v>0</v>
      </c>
      <c r="E13" s="87">
        <f>Production_Center!$G$113+Production_Center!$H$113</f>
        <v>0</v>
      </c>
      <c r="F13" s="88">
        <f>Production_Center!$I$113</f>
        <v>0</v>
      </c>
      <c r="G13" s="97">
        <f>Production_Center!M113</f>
        <v>0</v>
      </c>
      <c r="H13" s="98">
        <f>Production_Center!N113</f>
        <v>0</v>
      </c>
      <c r="I13" s="100">
        <f>Production_Center!K113</f>
        <v>0</v>
      </c>
      <c r="J13" s="76">
        <f>Production_Center!F112</f>
        <v>0</v>
      </c>
      <c r="K13" s="76">
        <f>Production_Center!C112</f>
        <v>0</v>
      </c>
      <c r="L13" s="97">
        <f>Production_Center!D112</f>
        <v>0</v>
      </c>
      <c r="M13" s="83">
        <f>Production_Center!E112</f>
        <v>0</v>
      </c>
      <c r="N13" s="89">
        <f>Production_Center!$G$112+Production_Center!$H$112</f>
        <v>0</v>
      </c>
      <c r="O13" s="90">
        <f>Production_Center!$I$112</f>
        <v>0</v>
      </c>
      <c r="P13" s="77">
        <f>Production_Center!M112</f>
        <v>0</v>
      </c>
      <c r="Q13" s="97">
        <f>Production_Center!N112</f>
        <v>0</v>
      </c>
      <c r="R13" s="65">
        <f>Production_Center!$K$112</f>
        <v>0</v>
      </c>
      <c r="T13"/>
      <c r="U13"/>
      <c r="V13"/>
      <c r="W13"/>
      <c r="X13" s="138">
        <v>11</v>
      </c>
      <c r="Y13" t="s">
        <v>202</v>
      </c>
      <c r="Z13"/>
      <c r="AA13"/>
      <c r="AB13"/>
    </row>
    <row r="14" spans="1:34" ht="14.5" customHeight="1" thickBot="1" x14ac:dyDescent="0.4">
      <c r="S14" s="52"/>
      <c r="T14"/>
      <c r="U14"/>
      <c r="V14"/>
      <c r="W14"/>
      <c r="X14"/>
      <c r="Y14"/>
      <c r="Z14"/>
      <c r="AA14"/>
      <c r="AB14"/>
    </row>
    <row r="15" spans="1:34" ht="15" customHeight="1" thickBot="1" x14ac:dyDescent="0.4">
      <c r="A15" s="145" t="s">
        <v>95</v>
      </c>
      <c r="B15" s="146"/>
      <c r="C15" s="146"/>
      <c r="D15" s="146"/>
      <c r="E15" s="146"/>
      <c r="F15" s="146"/>
      <c r="G15" s="146"/>
      <c r="H15" s="146"/>
      <c r="I15" s="146"/>
      <c r="J15" s="147"/>
      <c r="K15" s="74"/>
      <c r="L15" s="69"/>
      <c r="M15" s="69"/>
      <c r="N15" s="69"/>
      <c r="S15"/>
      <c r="T15"/>
      <c r="U15"/>
      <c r="V15"/>
      <c r="W15"/>
      <c r="X15"/>
      <c r="Y15"/>
      <c r="Z15"/>
      <c r="AA15"/>
    </row>
    <row r="16" spans="1:34" ht="14.5" customHeight="1" thickBot="1" x14ac:dyDescent="0.4">
      <c r="A16" s="148" t="s">
        <v>96</v>
      </c>
      <c r="B16" s="149"/>
      <c r="C16" s="149"/>
      <c r="D16" s="149"/>
      <c r="E16" s="149"/>
      <c r="F16" s="149"/>
      <c r="G16" s="149"/>
      <c r="H16" s="149"/>
      <c r="I16" s="149"/>
      <c r="J16" s="150"/>
      <c r="K16" s="75"/>
      <c r="P16" s="52"/>
      <c r="S16"/>
      <c r="T16"/>
      <c r="U16"/>
      <c r="V16"/>
      <c r="W16"/>
      <c r="X16"/>
      <c r="Y16"/>
      <c r="Z16"/>
      <c r="AA16"/>
    </row>
    <row r="17" spans="1:27" ht="15" customHeight="1" x14ac:dyDescent="0.35">
      <c r="A17" s="78" t="s">
        <v>94</v>
      </c>
      <c r="B17" s="79" t="s">
        <v>69</v>
      </c>
      <c r="C17" s="78" t="s">
        <v>69</v>
      </c>
      <c r="D17" s="80" t="s">
        <v>69</v>
      </c>
      <c r="E17" s="79" t="s">
        <v>91</v>
      </c>
      <c r="F17" s="79" t="s">
        <v>83</v>
      </c>
      <c r="G17" s="79" t="s">
        <v>97</v>
      </c>
      <c r="H17" s="79" t="s">
        <v>87</v>
      </c>
      <c r="I17" s="78" t="s">
        <v>86</v>
      </c>
      <c r="J17" s="79" t="s">
        <v>92</v>
      </c>
      <c r="L17" s="72"/>
      <c r="T17"/>
      <c r="U17"/>
      <c r="V17"/>
    </row>
    <row r="18" spans="1:27" ht="15" customHeight="1" thickBot="1" x14ac:dyDescent="0.4">
      <c r="A18" s="63" t="s">
        <v>69</v>
      </c>
      <c r="B18" s="64" t="s">
        <v>84</v>
      </c>
      <c r="C18" s="63" t="s">
        <v>107</v>
      </c>
      <c r="D18" s="63" t="s">
        <v>89</v>
      </c>
      <c r="E18" s="64" t="s">
        <v>84</v>
      </c>
      <c r="F18" s="64" t="s">
        <v>89</v>
      </c>
      <c r="G18" s="64" t="s">
        <v>76</v>
      </c>
      <c r="H18" s="64" t="s">
        <v>76</v>
      </c>
      <c r="I18" s="64" t="s">
        <v>76</v>
      </c>
      <c r="J18" s="64" t="s">
        <v>90</v>
      </c>
      <c r="L18" s="72"/>
      <c r="T18"/>
    </row>
    <row r="19" spans="1:27" ht="15" thickBot="1" x14ac:dyDescent="0.4">
      <c r="A19" s="66" t="e" vm="1">
        <f>Production_Center!F115</f>
        <v>#VALUE!</v>
      </c>
      <c r="B19" s="116">
        <f>Production_Center!C115</f>
        <v>0</v>
      </c>
      <c r="C19" s="117">
        <f>Production_Center!D115</f>
        <v>0</v>
      </c>
      <c r="D19" s="67">
        <f>Production_Center!E115</f>
        <v>0</v>
      </c>
      <c r="E19" s="66">
        <f>Production_Center!M115</f>
        <v>0</v>
      </c>
      <c r="F19" s="66">
        <f>Production_Center!N115</f>
        <v>0</v>
      </c>
      <c r="G19" s="70">
        <f>Production_Center!$P$109</f>
        <v>0</v>
      </c>
      <c r="H19" s="115">
        <f>Production_Center!$B$5</f>
        <v>0</v>
      </c>
      <c r="I19" s="94">
        <f>Production_Center!$I$115</f>
        <v>0</v>
      </c>
      <c r="J19" s="68">
        <f>Production_Center!$K$5</f>
        <v>0</v>
      </c>
      <c r="L19" s="73"/>
      <c r="T19"/>
    </row>
    <row r="20" spans="1:27" ht="15" customHeight="1" thickTop="1" x14ac:dyDescent="0.35">
      <c r="T20"/>
    </row>
    <row r="21" spans="1:27" x14ac:dyDescent="0.35">
      <c r="T21"/>
    </row>
    <row r="22" spans="1:27" x14ac:dyDescent="0.35">
      <c r="M22"/>
      <c r="N22"/>
      <c r="O22"/>
      <c r="P22"/>
      <c r="Q22"/>
      <c r="R22"/>
      <c r="S22"/>
      <c r="T22"/>
    </row>
    <row r="23" spans="1:27" x14ac:dyDescent="0.35">
      <c r="T23"/>
      <c r="U23"/>
      <c r="V23"/>
      <c r="W23"/>
      <c r="X23"/>
      <c r="Y23"/>
      <c r="Z23"/>
      <c r="AA23"/>
    </row>
    <row r="24" spans="1:27" x14ac:dyDescent="0.35">
      <c r="T24"/>
      <c r="U24"/>
      <c r="V24"/>
      <c r="W24"/>
      <c r="X24"/>
      <c r="Y24"/>
      <c r="Z24"/>
      <c r="AA24"/>
    </row>
    <row r="25" spans="1:27" x14ac:dyDescent="0.35">
      <c r="T25"/>
      <c r="U25"/>
      <c r="V25"/>
      <c r="W25"/>
      <c r="X25"/>
      <c r="Y25"/>
      <c r="Z25"/>
      <c r="AA25"/>
    </row>
    <row r="26" spans="1:27" x14ac:dyDescent="0.35">
      <c r="T26"/>
      <c r="U26"/>
      <c r="V26"/>
      <c r="W26"/>
      <c r="X26"/>
      <c r="Y26"/>
      <c r="Z26"/>
      <c r="AA26"/>
    </row>
    <row r="27" spans="1:27" x14ac:dyDescent="0.35">
      <c r="T27"/>
      <c r="U27"/>
      <c r="V27"/>
      <c r="W27"/>
      <c r="X27"/>
      <c r="Y27"/>
      <c r="Z27"/>
      <c r="AA27"/>
    </row>
    <row r="28" spans="1:27" x14ac:dyDescent="0.35">
      <c r="T28"/>
      <c r="U28"/>
      <c r="V28"/>
      <c r="W28"/>
      <c r="X28"/>
      <c r="Y28"/>
      <c r="Z28"/>
      <c r="AA28"/>
    </row>
    <row r="29" spans="1:27" x14ac:dyDescent="0.35">
      <c r="T29"/>
      <c r="U29"/>
      <c r="V29"/>
      <c r="W29"/>
      <c r="X29"/>
      <c r="Y29"/>
      <c r="Z29"/>
      <c r="AA29"/>
    </row>
    <row r="30" spans="1:27" x14ac:dyDescent="0.35">
      <c r="T30"/>
      <c r="U30"/>
      <c r="V30"/>
      <c r="W30"/>
      <c r="X30"/>
      <c r="Y30"/>
      <c r="Z30"/>
      <c r="AA30"/>
    </row>
    <row r="31" spans="1:27" x14ac:dyDescent="0.35">
      <c r="T31"/>
      <c r="U31"/>
      <c r="V31"/>
      <c r="W31"/>
      <c r="X31"/>
      <c r="Y31"/>
      <c r="Z31"/>
      <c r="AA31"/>
    </row>
    <row r="32" spans="1:27" x14ac:dyDescent="0.35">
      <c r="T32"/>
      <c r="U32"/>
      <c r="V32"/>
      <c r="W32"/>
      <c r="X32"/>
      <c r="Y32"/>
      <c r="Z32"/>
      <c r="AA32"/>
    </row>
    <row r="33" spans="20:27" x14ac:dyDescent="0.35">
      <c r="T33"/>
      <c r="U33"/>
      <c r="V33"/>
      <c r="W33"/>
      <c r="X33"/>
      <c r="Y33"/>
      <c r="Z33"/>
      <c r="AA33"/>
    </row>
    <row r="34" spans="20:27" x14ac:dyDescent="0.35">
      <c r="T34"/>
      <c r="U34"/>
      <c r="V34"/>
      <c r="W34"/>
      <c r="X34"/>
      <c r="Y34"/>
      <c r="Z34"/>
      <c r="AA34"/>
    </row>
    <row r="35" spans="20:27" x14ac:dyDescent="0.35">
      <c r="T35"/>
      <c r="U35"/>
      <c r="V35"/>
      <c r="W35"/>
      <c r="X35"/>
      <c r="Y35"/>
      <c r="Z35"/>
      <c r="AA35"/>
    </row>
    <row r="36" spans="20:27" x14ac:dyDescent="0.35">
      <c r="T36"/>
      <c r="U36"/>
      <c r="V36"/>
      <c r="W36"/>
      <c r="X36"/>
      <c r="Y36"/>
      <c r="Z36"/>
      <c r="AA36"/>
    </row>
    <row r="37" spans="20:27" x14ac:dyDescent="0.35">
      <c r="T37"/>
      <c r="U37"/>
      <c r="V37"/>
      <c r="W37"/>
      <c r="X37"/>
      <c r="Y37"/>
      <c r="Z37"/>
      <c r="AA37"/>
    </row>
    <row r="38" spans="20:27" x14ac:dyDescent="0.35">
      <c r="T38"/>
      <c r="U38"/>
      <c r="V38"/>
      <c r="W38"/>
      <c r="X38"/>
      <c r="Y38"/>
      <c r="Z38"/>
      <c r="AA38"/>
    </row>
    <row r="39" spans="20:27" x14ac:dyDescent="0.35">
      <c r="T39"/>
      <c r="U39"/>
      <c r="V39"/>
      <c r="W39"/>
      <c r="X39"/>
      <c r="Y39"/>
      <c r="Z39"/>
      <c r="AA39"/>
    </row>
    <row r="40" spans="20:27" x14ac:dyDescent="0.35">
      <c r="T40"/>
      <c r="U40"/>
      <c r="V40"/>
      <c r="W40"/>
      <c r="X40"/>
      <c r="Y40"/>
      <c r="Z40"/>
      <c r="AA40"/>
    </row>
    <row r="41" spans="20:27" x14ac:dyDescent="0.35">
      <c r="T41"/>
      <c r="U41"/>
      <c r="V41"/>
      <c r="W41"/>
      <c r="X41"/>
      <c r="Y41"/>
      <c r="Z41"/>
      <c r="AA41"/>
    </row>
    <row r="42" spans="20:27" x14ac:dyDescent="0.35">
      <c r="T42"/>
      <c r="U42"/>
      <c r="V42"/>
      <c r="W42"/>
      <c r="X42"/>
      <c r="Y42"/>
      <c r="Z42"/>
      <c r="AA42"/>
    </row>
    <row r="43" spans="20:27" x14ac:dyDescent="0.35">
      <c r="T43"/>
      <c r="U43"/>
      <c r="V43"/>
      <c r="W43"/>
      <c r="X43"/>
      <c r="Y43"/>
      <c r="Z43"/>
      <c r="AA43"/>
    </row>
    <row r="44" spans="20:27" x14ac:dyDescent="0.35">
      <c r="T44"/>
      <c r="U44"/>
      <c r="V44"/>
      <c r="W44"/>
      <c r="X44"/>
      <c r="Y44"/>
      <c r="Z44"/>
      <c r="AA44"/>
    </row>
    <row r="45" spans="20:27" x14ac:dyDescent="0.35">
      <c r="T45"/>
      <c r="U45"/>
      <c r="V45"/>
      <c r="W45"/>
      <c r="X45"/>
      <c r="Y45"/>
      <c r="Z45"/>
      <c r="AA45"/>
    </row>
    <row r="46" spans="20:27" x14ac:dyDescent="0.35">
      <c r="T46"/>
      <c r="U46"/>
      <c r="V46"/>
      <c r="W46"/>
      <c r="X46"/>
      <c r="Y46"/>
      <c r="Z46"/>
      <c r="AA46"/>
    </row>
    <row r="47" spans="20:27" x14ac:dyDescent="0.35">
      <c r="T47"/>
      <c r="U47"/>
      <c r="V47"/>
      <c r="W47"/>
      <c r="X47"/>
      <c r="Y47"/>
      <c r="Z47"/>
      <c r="AA47"/>
    </row>
    <row r="48" spans="20:27" x14ac:dyDescent="0.35">
      <c r="T48"/>
      <c r="U48"/>
      <c r="V48"/>
      <c r="W48"/>
      <c r="X48"/>
      <c r="Y48"/>
      <c r="Z48"/>
      <c r="AA48"/>
    </row>
    <row r="49" spans="20:27" x14ac:dyDescent="0.35">
      <c r="T49"/>
      <c r="U49"/>
      <c r="V49"/>
      <c r="W49"/>
      <c r="X49"/>
      <c r="Y49"/>
      <c r="Z49"/>
      <c r="AA49"/>
    </row>
    <row r="50" spans="20:27" x14ac:dyDescent="0.35">
      <c r="T50"/>
      <c r="U50"/>
      <c r="V50"/>
      <c r="W50"/>
      <c r="X50"/>
      <c r="Y50"/>
      <c r="Z50"/>
      <c r="AA50"/>
    </row>
    <row r="51" spans="20:27" x14ac:dyDescent="0.35">
      <c r="T51"/>
      <c r="U51"/>
      <c r="V51"/>
      <c r="W51"/>
      <c r="X51"/>
      <c r="Y51"/>
      <c r="Z51"/>
      <c r="AA51"/>
    </row>
    <row r="52" spans="20:27" x14ac:dyDescent="0.35">
      <c r="T52"/>
      <c r="U52"/>
      <c r="V52"/>
      <c r="W52"/>
      <c r="X52"/>
      <c r="Y52"/>
      <c r="Z52"/>
      <c r="AA52"/>
    </row>
    <row r="53" spans="20:27" x14ac:dyDescent="0.35">
      <c r="T53"/>
      <c r="U53"/>
      <c r="V53"/>
      <c r="W53"/>
      <c r="X53"/>
      <c r="Y53"/>
      <c r="Z53"/>
      <c r="AA53"/>
    </row>
    <row r="54" spans="20:27" x14ac:dyDescent="0.35">
      <c r="T54"/>
      <c r="U54"/>
      <c r="V54"/>
      <c r="W54"/>
      <c r="X54"/>
      <c r="Y54"/>
      <c r="Z54"/>
      <c r="AA54"/>
    </row>
    <row r="55" spans="20:27" x14ac:dyDescent="0.35">
      <c r="T55"/>
      <c r="U55"/>
      <c r="V55"/>
      <c r="W55"/>
      <c r="X55"/>
      <c r="Y55"/>
      <c r="Z55"/>
      <c r="AA55"/>
    </row>
    <row r="56" spans="20:27" x14ac:dyDescent="0.35">
      <c r="T56"/>
      <c r="U56"/>
      <c r="V56"/>
      <c r="W56"/>
      <c r="X56"/>
      <c r="Y56"/>
      <c r="Z56"/>
      <c r="AA56"/>
    </row>
    <row r="57" spans="20:27" x14ac:dyDescent="0.35">
      <c r="T57"/>
      <c r="U57"/>
      <c r="V57"/>
      <c r="W57"/>
      <c r="X57"/>
      <c r="Y57"/>
      <c r="Z57"/>
      <c r="AA57"/>
    </row>
  </sheetData>
  <mergeCells count="6">
    <mergeCell ref="A15:J15"/>
    <mergeCell ref="A16:J16"/>
    <mergeCell ref="A10:I10"/>
    <mergeCell ref="J10:R10"/>
    <mergeCell ref="A8:I9"/>
    <mergeCell ref="J8:R9"/>
  </mergeCell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5"/>
  <sheetViews>
    <sheetView tabSelected="1" zoomScale="93" zoomScaleNormal="93" workbookViewId="0">
      <pane ySplit="7" topLeftCell="A8" activePane="bottomLeft" state="frozen"/>
      <selection pane="bottomLeft" activeCell="J59" sqref="J59"/>
    </sheetView>
  </sheetViews>
  <sheetFormatPr defaultColWidth="9.1796875" defaultRowHeight="14.5" x14ac:dyDescent="0.35"/>
  <cols>
    <col min="1" max="1" width="10.54296875" style="1" bestFit="1" customWidth="1"/>
    <col min="2" max="2" width="9.54296875" style="1" bestFit="1" customWidth="1"/>
    <col min="3" max="3" width="6.81640625" style="1" bestFit="1" customWidth="1"/>
    <col min="4" max="4" width="5.453125" style="1" bestFit="1" customWidth="1"/>
    <col min="5" max="5" width="10.453125" style="1" bestFit="1" customWidth="1"/>
    <col min="6" max="9" width="6" style="1" customWidth="1"/>
    <col min="10" max="10" width="6.453125" style="1" bestFit="1" customWidth="1"/>
    <col min="11" max="11" width="13.1796875" style="1" bestFit="1" customWidth="1"/>
    <col min="12" max="12" width="43.453125" style="1" bestFit="1" customWidth="1"/>
    <col min="13" max="13" width="8.54296875" style="1" bestFit="1" customWidth="1"/>
    <col min="14" max="14" width="13.1796875" style="1" bestFit="1" customWidth="1"/>
    <col min="15" max="15" width="11.453125" style="1" bestFit="1" customWidth="1"/>
    <col min="16" max="16" width="9.453125" style="1" customWidth="1"/>
    <col min="17" max="17" width="11.453125" style="1" customWidth="1"/>
    <col min="18" max="18" width="13.453125" style="1" bestFit="1" customWidth="1"/>
    <col min="19" max="19" width="10.54296875" style="1" bestFit="1" customWidth="1"/>
    <col min="20" max="20" width="13.1796875" style="1" bestFit="1" customWidth="1"/>
    <col min="21" max="21" width="9.453125" style="1" bestFit="1" customWidth="1"/>
    <col min="22" max="22" width="8" style="1" bestFit="1" customWidth="1"/>
    <col min="23" max="23" width="10.54296875" style="1" bestFit="1" customWidth="1"/>
    <col min="24" max="24" width="36.453125" style="19" bestFit="1" customWidth="1"/>
    <col min="25" max="25" width="7.54296875" style="1" bestFit="1" customWidth="1"/>
    <col min="26" max="27" width="11" style="1" customWidth="1"/>
    <col min="28" max="29" width="9.1796875" style="1"/>
    <col min="30" max="30" width="7.453125" style="1" customWidth="1"/>
    <col min="31" max="31" width="9.1796875" style="1"/>
    <col min="32" max="32" width="40.54296875" style="1" bestFit="1" customWidth="1"/>
    <col min="33" max="16384" width="9.1796875" style="1"/>
  </cols>
  <sheetData>
    <row r="1" spans="1:32" x14ac:dyDescent="0.35">
      <c r="B1" s="3" t="s">
        <v>4</v>
      </c>
      <c r="D1" s="1" t="s">
        <v>6</v>
      </c>
      <c r="F1" s="2">
        <f>10/60</f>
        <v>0.16666666666666666</v>
      </c>
      <c r="G1" s="2"/>
      <c r="H1" s="2"/>
      <c r="I1" s="2"/>
      <c r="J1" s="2"/>
      <c r="K1" s="2"/>
      <c r="L1" s="3" t="s">
        <v>13</v>
      </c>
      <c r="N1" s="3" t="s">
        <v>7</v>
      </c>
      <c r="O1" s="1">
        <f>4.5/60</f>
        <v>7.4999999999999997E-2</v>
      </c>
      <c r="P1" s="3" t="s">
        <v>4</v>
      </c>
      <c r="Q1" s="3" t="s">
        <v>8</v>
      </c>
      <c r="R1" s="3"/>
      <c r="S1" s="3"/>
      <c r="T1" s="3"/>
      <c r="U1" s="3" t="s">
        <v>4</v>
      </c>
      <c r="Z1" s="3" t="s">
        <v>9</v>
      </c>
      <c r="AA1" s="3" t="s">
        <v>4</v>
      </c>
      <c r="AB1" s="3" t="s">
        <v>4</v>
      </c>
      <c r="AC1" s="37" t="s">
        <v>10</v>
      </c>
      <c r="AD1" s="38" t="s">
        <v>11</v>
      </c>
    </row>
    <row r="2" spans="1:32" x14ac:dyDescent="0.35">
      <c r="B2" s="5" t="e">
        <f>AA2/P2</f>
        <v>#DIV/0!</v>
      </c>
      <c r="D2" s="1" t="s">
        <v>12</v>
      </c>
      <c r="F2" s="1">
        <v>31</v>
      </c>
      <c r="M2" s="3"/>
      <c r="N2" s="3" t="s">
        <v>14</v>
      </c>
      <c r="O2" s="16">
        <f>6.5/60</f>
        <v>0.10833333333333334</v>
      </c>
      <c r="P2" s="2">
        <f>U109</f>
        <v>0</v>
      </c>
      <c r="Q2" s="2">
        <f>SUMIFS($U$8:$U$108,$Y$8:$Y$108,"&lt;&gt;"&amp;$Z$4)</f>
        <v>0</v>
      </c>
      <c r="T2" s="2"/>
      <c r="U2" s="2" cm="1">
        <f t="array" ref="U2">SUM(SUMIFS($U$8:$U$108, $Y$8:$Y$108, _xlfn.VSTACK($Z$2, $Z$4)))</f>
        <v>0</v>
      </c>
      <c r="X2" s="1" t="s">
        <v>15</v>
      </c>
      <c r="Y2" s="1">
        <f>P2</f>
        <v>0</v>
      </c>
      <c r="Z2" s="1" t="s">
        <v>16</v>
      </c>
      <c r="AA2" s="2">
        <f>SUM(AA8:AA108)</f>
        <v>0</v>
      </c>
      <c r="AB2" s="2">
        <f>SUM(AB8:AB108)</f>
        <v>0</v>
      </c>
      <c r="AC2" s="33" t="s">
        <v>17</v>
      </c>
      <c r="AD2" s="34">
        <f>COUNTIF($D$8:$D$108,AC2)</f>
        <v>0</v>
      </c>
    </row>
    <row r="3" spans="1:32" x14ac:dyDescent="0.35">
      <c r="D3" s="1" t="s">
        <v>18</v>
      </c>
      <c r="F3" s="1">
        <v>31</v>
      </c>
      <c r="N3" s="3" t="s">
        <v>19</v>
      </c>
      <c r="O3" s="16">
        <f>4.5/60</f>
        <v>7.4999999999999997E-2</v>
      </c>
      <c r="R3" s="44"/>
      <c r="X3" s="1" t="s">
        <v>20</v>
      </c>
      <c r="Y3" s="1">
        <f>T2</f>
        <v>0</v>
      </c>
      <c r="Z3" s="1" t="s">
        <v>21</v>
      </c>
      <c r="AC3" s="33" t="s">
        <v>22</v>
      </c>
      <c r="AD3" s="34">
        <f>COUNTIF($D$8:$D$108,AC3)</f>
        <v>0</v>
      </c>
    </row>
    <row r="4" spans="1:32" x14ac:dyDescent="0.35">
      <c r="A4" s="3" t="s">
        <v>69</v>
      </c>
      <c r="B4" s="3" t="s">
        <v>74</v>
      </c>
      <c r="C4" s="3" t="s">
        <v>70</v>
      </c>
      <c r="D4" s="3" t="s">
        <v>72</v>
      </c>
      <c r="E4" s="3" t="s">
        <v>71</v>
      </c>
      <c r="F4" s="3" t="s">
        <v>73</v>
      </c>
      <c r="G4" s="3"/>
      <c r="H4" s="3" t="s">
        <v>102</v>
      </c>
      <c r="I4" s="3" t="s">
        <v>103</v>
      </c>
      <c r="K4" s="3" t="s">
        <v>28</v>
      </c>
      <c r="N4" s="20" t="s">
        <v>78</v>
      </c>
      <c r="O4" s="1">
        <f>COUNTIFS($D$8:$D$108, $AC$4, $Y$8:$Y$108, $Z$4)</f>
        <v>0</v>
      </c>
      <c r="P4" s="2">
        <f>SUMIFS($U$8:$U$108, $Y$8:$Y$108, $Z$4, $D$8:$D$108, $AC$4)</f>
        <v>0</v>
      </c>
      <c r="Q4" s="1">
        <f>SUMIFS($J$8:$J$108, $Y$8:$Y$108, $Z$4, $D$8:$D$108, $AC$4)</f>
        <v>0</v>
      </c>
      <c r="R4" s="50">
        <f>SUMIFS($K$8:$K$108, $Y$8:$Y$108, $Z$4, $D$8:$D$108, $AC$4)</f>
        <v>0</v>
      </c>
      <c r="S4" s="20" t="s">
        <v>81</v>
      </c>
      <c r="T4" s="50">
        <f>SUMIFS($K$8:$K$108, $Y$8:$Y$108, "&lt;&gt;"&amp;$Z$4, $D$8:$D$108, $AC$4)</f>
        <v>0</v>
      </c>
      <c r="U4" s="1">
        <f>SUMIFS($F$8:$F$108, $Y$8:$Y$108, "&lt;&gt;"&amp;$Z$4, $D$8:$D$108, $AC$4)</f>
        <v>0</v>
      </c>
      <c r="X4" s="1"/>
      <c r="Z4" s="1" t="s">
        <v>23</v>
      </c>
      <c r="AC4" s="33" t="s">
        <v>24</v>
      </c>
      <c r="AD4" s="34">
        <f>COUNTIF($D$8:$D$108,AC4)</f>
        <v>0</v>
      </c>
    </row>
    <row r="5" spans="1:32" x14ac:dyDescent="0.35">
      <c r="A5" s="1">
        <f>MAX($C$8:$C$108)</f>
        <v>1</v>
      </c>
      <c r="B5" s="2">
        <f>U2</f>
        <v>0</v>
      </c>
      <c r="C5" s="1">
        <f>$D$113</f>
        <v>0</v>
      </c>
      <c r="D5" s="1" cm="1">
        <f t="array" ref="D5">SUM(SUMIFS($U$8:$U$108, $Y$8:$Y$108, _xlfn.VSTACK($Z$2, $Z$4), $D$8:$D$108, $AC$4))</f>
        <v>0</v>
      </c>
      <c r="E5" s="1">
        <f>$D$112</f>
        <v>0</v>
      </c>
      <c r="F5" s="1" cm="1">
        <f t="array" ref="F5">SUM(SUMIFS($U$8:$U$108, $Y$8:$Y$108, _xlfn.VSTACK($Z$2, $Z$4), $D$8:$D$108, $AC$2))</f>
        <v>0</v>
      </c>
      <c r="I5" s="1" cm="1">
        <f t="array" ref="I5">SUM(SUMIF($Y$8:$Y$108, _xlfn.VSTACK($Z$2, $Z$4), $H$8:$H$108))</f>
        <v>0</v>
      </c>
      <c r="K5" s="50" cm="1">
        <f t="array" ref="K5">SUM(SUMIF($Y$8:$Y$108, _xlfn.VSTACK($Z$2, $Z$4), $K$8:$K$108))</f>
        <v>0</v>
      </c>
      <c r="N5" s="20" t="s">
        <v>79</v>
      </c>
      <c r="O5" s="1">
        <f>COUNTIFS($D$8:$D$108, $AC$3, $Y$8:$Y$108, $Z$4)</f>
        <v>0</v>
      </c>
      <c r="P5" s="2">
        <f>SUMIFS($U$8:$U$108, $Y$8:$Y$108, $Z$4, $D$8:$D$108, $AC$3)</f>
        <v>0</v>
      </c>
      <c r="Q5" s="1">
        <f>SUMIFS($J$8:$J$108, $Y$8:$Y$108, $Z$4, $D$8:$D$108, $AC$3)</f>
        <v>0</v>
      </c>
      <c r="R5" s="50">
        <f>SUMIFS($K$8:$K$108, $Y$8:$Y$108, $Z$4, $D$8:$D$108, $AC$3)</f>
        <v>0</v>
      </c>
      <c r="S5" s="20" t="s">
        <v>80</v>
      </c>
      <c r="T5" s="50">
        <f>SUMIFS($K$8:$K$108, $Y$8:$Y$108, "&lt;&gt;"&amp;$Z$4, $D$8:$D$108, $AC$3)</f>
        <v>0</v>
      </c>
      <c r="U5" s="1">
        <f>SUMIFS($F$8:$F$108, $Y$8:$Y$108, "&lt;&gt;"&amp;$Z$4, $D$8:$D$108, $AC$3)</f>
        <v>0</v>
      </c>
      <c r="X5" s="1"/>
      <c r="Z5" s="1" t="s">
        <v>41</v>
      </c>
      <c r="AC5" s="35" t="s">
        <v>44</v>
      </c>
      <c r="AD5" s="36">
        <f>COUNTIF($D$8:$D$108,AC5)</f>
        <v>0</v>
      </c>
    </row>
    <row r="6" spans="1:32" ht="15" thickBot="1" x14ac:dyDescent="0.4">
      <c r="K6" s="50"/>
      <c r="AC6" s="39" t="s">
        <v>46</v>
      </c>
      <c r="AD6" s="40">
        <f>COUNTIF($D$8:$D$108,AC6)</f>
        <v>0</v>
      </c>
    </row>
    <row r="7" spans="1:32" ht="29.5" thickTop="1" x14ac:dyDescent="0.35">
      <c r="A7" s="18" t="s">
        <v>25</v>
      </c>
      <c r="B7" s="18" t="s">
        <v>84</v>
      </c>
      <c r="C7" s="18" t="s">
        <v>26</v>
      </c>
      <c r="D7" s="18" t="s">
        <v>27</v>
      </c>
      <c r="E7" s="84" t="s">
        <v>100</v>
      </c>
      <c r="F7" s="43" t="s">
        <v>83</v>
      </c>
      <c r="G7" s="95" t="s">
        <v>104</v>
      </c>
      <c r="H7" s="95" t="s">
        <v>106</v>
      </c>
      <c r="I7" s="95" t="s">
        <v>101</v>
      </c>
      <c r="J7" s="96" t="s">
        <v>118</v>
      </c>
      <c r="K7" s="18" t="s">
        <v>28</v>
      </c>
      <c r="L7" s="18" t="s">
        <v>29</v>
      </c>
      <c r="M7" s="18" t="s">
        <v>30</v>
      </c>
      <c r="N7" s="18" t="s">
        <v>31</v>
      </c>
      <c r="O7" s="18" t="s">
        <v>32</v>
      </c>
      <c r="P7" s="18" t="s">
        <v>33</v>
      </c>
      <c r="Q7" s="18" t="s">
        <v>34</v>
      </c>
      <c r="R7" s="18" t="s">
        <v>35</v>
      </c>
      <c r="S7" s="18" t="s">
        <v>36</v>
      </c>
      <c r="T7" s="18" t="s">
        <v>37</v>
      </c>
      <c r="U7" s="18" t="s">
        <v>38</v>
      </c>
      <c r="V7" s="18" t="s">
        <v>39</v>
      </c>
      <c r="W7" s="18" t="s">
        <v>64</v>
      </c>
      <c r="X7" s="3" t="s">
        <v>40</v>
      </c>
      <c r="Y7" s="42" t="s">
        <v>9</v>
      </c>
      <c r="AA7" s="3" t="s">
        <v>42</v>
      </c>
      <c r="AB7" s="3" t="s">
        <v>43</v>
      </c>
      <c r="AF7" s="3" t="s">
        <v>45</v>
      </c>
    </row>
    <row r="8" spans="1:32" x14ac:dyDescent="0.35">
      <c r="A8" s="41"/>
      <c r="B8" s="29" cm="1">
        <f t="array" ref="B8">_xlfn.IFS(Y8=$Z$2,IF(U8="","",IF(G8/F8=0,U8/Q8,G8/F8)),Y8=$Z$3,0,Y8=$Z$4,1)</f>
        <v>1</v>
      </c>
      <c r="C8" s="55">
        <v>1</v>
      </c>
      <c r="D8" s="49"/>
      <c r="E8" s="48"/>
      <c r="F8" s="24">
        <f t="shared" ref="F8:F51" si="0">IF(E8=E7,F7,0)</f>
        <v>0</v>
      </c>
      <c r="G8" s="56">
        <f>IF(O8="Continued","",F8)</f>
        <v>0</v>
      </c>
      <c r="H8" s="56">
        <f>IF(O8="Continued","",F8)</f>
        <v>0</v>
      </c>
      <c r="I8" s="56" cm="1">
        <f t="array" ref="I8">_xlfn.IFS(Y8=$Z$4,F8,Y8=$Z$3,0,Y8=#REF!,0,Y8=$Z$2,F8-1)</f>
        <v>0</v>
      </c>
      <c r="J8" s="56" cm="1">
        <f t="array" ref="J8">_xlfn.IFS(Y8=$Z$4,F8,Y8=$Z$3,0,Y8=#REF!,0,Y8=$Z$2,F8-1)</f>
        <v>0</v>
      </c>
      <c r="K8" s="59">
        <v>0</v>
      </c>
      <c r="L8" s="48"/>
      <c r="M8" s="55"/>
      <c r="N8" s="55"/>
      <c r="O8" s="55"/>
      <c r="P8" s="49"/>
      <c r="Q8" s="57">
        <f t="shared" ref="Q8:Q15" si="1">(IF(D8="Q",F8*$O$1,IF(D8="O",F8*$O$2,F8*$O$3))*IF(F8&lt;$F$2,1,IF(F8&lt;$F$3,0.9,0.875)))+$F$1</f>
        <v>0.16666666666666666</v>
      </c>
      <c r="R8" s="49">
        <v>0</v>
      </c>
      <c r="S8" s="57"/>
      <c r="T8" s="58">
        <f t="shared" ref="T8:T49" si="2">R8+S8</f>
        <v>0</v>
      </c>
      <c r="U8" s="58">
        <f>IF(O8="Continued","",SUMIFS($T$6:$T$106,$E$6:$E$106,E8,$D$6:$D$106,D8))</f>
        <v>0</v>
      </c>
      <c r="V8" s="49" t="s">
        <v>122</v>
      </c>
      <c r="W8" s="141" t="s">
        <v>65</v>
      </c>
      <c r="X8"/>
      <c r="Y8" s="1" t="s">
        <v>23</v>
      </c>
      <c r="Z8" s="13">
        <f t="shared" ref="Z8:Z14" si="3">IF(Q8="","",(Q8-T8)/Q8)</f>
        <v>1</v>
      </c>
      <c r="AA8" s="2">
        <f t="shared" ref="AA8:AA14" si="4">IF(Y8=$Z$2,IF(B8="","",AB8*B8),AB8)</f>
        <v>0</v>
      </c>
      <c r="AB8" s="2">
        <f t="shared" ref="AB8:AB54" si="5">IF(Y8="LO",P8*B8,P8)</f>
        <v>0</v>
      </c>
      <c r="AF8" s="1" t="s">
        <v>62</v>
      </c>
    </row>
    <row r="9" spans="1:32" x14ac:dyDescent="0.35">
      <c r="A9" s="26">
        <f>A8</f>
        <v>0</v>
      </c>
      <c r="B9" s="29" cm="1">
        <f t="array" ref="B9">_xlfn.IFS(Y9=$Z$2,IF(U9="","",IF(G9/F9=0,U9/Q9,G9/F9)),Y9=$Z$3,0,Y9=$Z$4,1)</f>
        <v>1</v>
      </c>
      <c r="C9" s="55">
        <f>IF(AND(D8=D9,OR(E9=E8,Y9=$Z$3)),C8,IF(E9="","",C8+1))</f>
        <v>1</v>
      </c>
      <c r="D9" s="49"/>
      <c r="E9" s="48"/>
      <c r="F9" s="24">
        <f t="shared" si="0"/>
        <v>0</v>
      </c>
      <c r="G9" s="56">
        <f>IF(O9="Continued","",F9)</f>
        <v>0</v>
      </c>
      <c r="H9" s="56">
        <f t="shared" ref="H9" si="6">IF(O9="Continued","",F9)</f>
        <v>0</v>
      </c>
      <c r="I9" s="56" cm="1">
        <f t="array" ref="I9">_xlfn.IFS(Y9=$Z$4,F9,Y9=$Z$3,0,Y9=#REF!,0,Y9=$Z$2,F9-1)</f>
        <v>0</v>
      </c>
      <c r="J9" s="56" cm="1">
        <f t="array" ref="J9">_xlfn.IFS(Y9=$Z$4,F9,Y9=$Z$3,0,Y9=#REF!,0,Y9=$Z$2,F9-1)</f>
        <v>0</v>
      </c>
      <c r="K9" s="59">
        <v>0</v>
      </c>
      <c r="L9" s="48"/>
      <c r="M9" s="55"/>
      <c r="N9" s="55"/>
      <c r="O9" s="55"/>
      <c r="P9" s="49"/>
      <c r="Q9" s="57">
        <f t="shared" si="1"/>
        <v>0.16666666666666666</v>
      </c>
      <c r="R9" s="49">
        <v>0</v>
      </c>
      <c r="S9" s="57"/>
      <c r="T9" s="58">
        <f t="shared" si="2"/>
        <v>0</v>
      </c>
      <c r="U9" s="58">
        <f>IF(O9="Continued","",SUMIFS($T$6:$T$106,$E$6:$E$106,E9,$D$6:$D$106,D9))</f>
        <v>0</v>
      </c>
      <c r="V9" s="49" t="s">
        <v>122</v>
      </c>
      <c r="W9" s="141" t="s">
        <v>65</v>
      </c>
      <c r="X9"/>
      <c r="Y9" s="1" t="s">
        <v>23</v>
      </c>
      <c r="Z9" s="13">
        <f t="shared" si="3"/>
        <v>1</v>
      </c>
      <c r="AA9" s="2">
        <f t="shared" si="4"/>
        <v>0</v>
      </c>
      <c r="AB9" s="2">
        <f t="shared" si="5"/>
        <v>0</v>
      </c>
      <c r="AF9" s="1" t="s">
        <v>47</v>
      </c>
    </row>
    <row r="10" spans="1:32" x14ac:dyDescent="0.35">
      <c r="A10" s="26">
        <f t="shared" ref="A10:A55" si="7">A9</f>
        <v>0</v>
      </c>
      <c r="B10" s="29" cm="1">
        <f t="array" ref="B10">_xlfn.IFS(Y10=$Z$2,IF(U10="","",IF(G10/F10=0,U10/Q10,G10/F10)),Y10=$Z$3,0,Y10=$Z$4,1)</f>
        <v>1</v>
      </c>
      <c r="C10" s="55">
        <f>IF(AND(D9=D10,OR(E10=E9,Y10=$Z$3)),C9,IF(E10="","",C9+1))</f>
        <v>1</v>
      </c>
      <c r="D10" s="49"/>
      <c r="E10" s="48"/>
      <c r="F10" s="24">
        <f t="shared" si="0"/>
        <v>0</v>
      </c>
      <c r="G10" s="56">
        <f t="shared" ref="G10:G23" si="8">IF(O10="Continued","",F10)</f>
        <v>0</v>
      </c>
      <c r="H10" s="56">
        <f t="shared" ref="H10:H23" si="9">IF(O10="Continued","",F10)</f>
        <v>0</v>
      </c>
      <c r="I10" s="56" cm="1">
        <f t="array" ref="I10">_xlfn.IFS(Y10=$Z$4,F10,Y10=$Z$3,0,Y10=#REF!,0,Y10=$Z$2,F10-1)</f>
        <v>0</v>
      </c>
      <c r="J10" s="56" cm="1">
        <f t="array" ref="J10">_xlfn.IFS(Y10=$Z$4,F10,Y10=$Z$3,0,Y10=#REF!,0,Y10=$Z$2,F10-1)</f>
        <v>0</v>
      </c>
      <c r="K10" s="59">
        <v>0</v>
      </c>
      <c r="L10" s="48"/>
      <c r="M10" s="55"/>
      <c r="N10" s="55"/>
      <c r="O10" s="55"/>
      <c r="P10" s="49"/>
      <c r="Q10" s="57">
        <f t="shared" si="1"/>
        <v>0.16666666666666666</v>
      </c>
      <c r="R10" s="49">
        <v>0</v>
      </c>
      <c r="S10" s="57"/>
      <c r="T10" s="58">
        <f t="shared" si="2"/>
        <v>0</v>
      </c>
      <c r="U10" s="58">
        <f t="shared" ref="U10:U49" si="10">IF(O10="Continued","",SUMIFS($T$6:$T$106,$E$6:$E$106,E10,$D$6:$D$106,D10))</f>
        <v>0</v>
      </c>
      <c r="V10" s="49" t="s">
        <v>122</v>
      </c>
      <c r="W10" s="141" t="s">
        <v>65</v>
      </c>
      <c r="X10"/>
      <c r="Y10" s="1" t="s">
        <v>23</v>
      </c>
      <c r="Z10" s="13">
        <f t="shared" si="3"/>
        <v>1</v>
      </c>
      <c r="AA10" s="2">
        <f t="shared" si="4"/>
        <v>0</v>
      </c>
      <c r="AB10" s="2">
        <f t="shared" si="5"/>
        <v>0</v>
      </c>
      <c r="AF10" s="1" t="s">
        <v>48</v>
      </c>
    </row>
    <row r="11" spans="1:32" x14ac:dyDescent="0.35">
      <c r="A11" s="26">
        <f t="shared" si="7"/>
        <v>0</v>
      </c>
      <c r="B11" s="29" cm="1">
        <f t="array" ref="B11">_xlfn.IFS(Y11=$Z$2,IF(U11="","",IF(G11/F11=0,U11/Q11,G11/F11)),Y11=$Z$3,0,Y11=$Z$4,1)</f>
        <v>1</v>
      </c>
      <c r="C11" s="55">
        <f t="shared" ref="C11:C74" si="11">IF(AND(D10=D11,OR(E11=E10,Y11=$Z$3)),C10,IF(E11="","",C10+1))</f>
        <v>1</v>
      </c>
      <c r="D11" s="49"/>
      <c r="E11" s="48"/>
      <c r="F11" s="24">
        <f t="shared" si="0"/>
        <v>0</v>
      </c>
      <c r="G11" s="56">
        <f t="shared" si="8"/>
        <v>0</v>
      </c>
      <c r="H11" s="56">
        <f t="shared" si="9"/>
        <v>0</v>
      </c>
      <c r="I11" s="56" cm="1">
        <f t="array" ref="I11">_xlfn.IFS(Y11=$Z$4,F11,Y11=$Z$3,0,Y11=#REF!,0,Y11=$Z$2,F11-1)</f>
        <v>0</v>
      </c>
      <c r="J11" s="56" cm="1">
        <f t="array" ref="J11">_xlfn.IFS(Y11=$Z$4,F11,Y11=$Z$3,0,Y11=#REF!,0,Y11=$Z$2,F11-1)</f>
        <v>0</v>
      </c>
      <c r="K11" s="59">
        <v>0</v>
      </c>
      <c r="L11" s="48"/>
      <c r="M11" s="55"/>
      <c r="N11" s="55"/>
      <c r="O11" s="55"/>
      <c r="P11" s="49"/>
      <c r="Q11" s="57">
        <f t="shared" si="1"/>
        <v>0.16666666666666666</v>
      </c>
      <c r="R11" s="49">
        <v>0</v>
      </c>
      <c r="S11" s="57"/>
      <c r="T11" s="58">
        <f t="shared" si="2"/>
        <v>0</v>
      </c>
      <c r="U11" s="58">
        <f t="shared" si="10"/>
        <v>0</v>
      </c>
      <c r="V11" s="49" t="s">
        <v>122</v>
      </c>
      <c r="W11" s="141" t="s">
        <v>65</v>
      </c>
      <c r="X11"/>
      <c r="Y11" s="1" t="s">
        <v>23</v>
      </c>
      <c r="Z11" s="13">
        <f t="shared" si="3"/>
        <v>1</v>
      </c>
      <c r="AA11" s="2">
        <f t="shared" si="4"/>
        <v>0</v>
      </c>
      <c r="AB11" s="2">
        <f t="shared" si="5"/>
        <v>0</v>
      </c>
      <c r="AF11" s="1" t="s">
        <v>63</v>
      </c>
    </row>
    <row r="12" spans="1:32" x14ac:dyDescent="0.35">
      <c r="A12" s="26">
        <f t="shared" si="7"/>
        <v>0</v>
      </c>
      <c r="B12" s="29" cm="1">
        <f t="array" ref="B12">_xlfn.IFS(Y12=$Z$2,IF(U12="","",IF(G12/F12=0,U12/Q12,G12/F12)),Y12=$Z$3,0,Y12=$Z$4,1)</f>
        <v>1</v>
      </c>
      <c r="C12" s="55">
        <f t="shared" si="11"/>
        <v>1</v>
      </c>
      <c r="D12" s="49"/>
      <c r="E12" s="48"/>
      <c r="F12" s="24">
        <f t="shared" ref="F12:F23" si="12">IF(E12=E11,F11,0)</f>
        <v>0</v>
      </c>
      <c r="G12" s="56">
        <f t="shared" si="8"/>
        <v>0</v>
      </c>
      <c r="H12" s="56">
        <f t="shared" si="9"/>
        <v>0</v>
      </c>
      <c r="I12" s="56" cm="1">
        <f t="array" ref="I12">_xlfn.IFS(Y12=$Z$4,F12,Y12=$Z$3,0,Y12=#REF!,0,Y12=$Z$2,F12-1)</f>
        <v>0</v>
      </c>
      <c r="J12" s="56" cm="1">
        <f t="array" ref="J12">_xlfn.IFS(Y12=$Z$4,F12,Y12=$Z$3,0,Y12=#REF!,0,Y12=$Z$2,F12-1)</f>
        <v>0</v>
      </c>
      <c r="K12" s="59">
        <v>0</v>
      </c>
      <c r="L12" s="48"/>
      <c r="M12" s="55"/>
      <c r="N12" s="55"/>
      <c r="O12" s="55"/>
      <c r="P12" s="49"/>
      <c r="Q12" s="57">
        <f t="shared" si="1"/>
        <v>0.16666666666666666</v>
      </c>
      <c r="R12" s="49">
        <v>0</v>
      </c>
      <c r="S12" s="57"/>
      <c r="T12" s="58">
        <f t="shared" si="2"/>
        <v>0</v>
      </c>
      <c r="U12" s="58">
        <f t="shared" si="10"/>
        <v>0</v>
      </c>
      <c r="V12" s="49" t="s">
        <v>122</v>
      </c>
      <c r="W12" s="141" t="s">
        <v>65</v>
      </c>
      <c r="X12"/>
      <c r="Y12" s="1" t="s">
        <v>23</v>
      </c>
      <c r="Z12" s="13">
        <f t="shared" si="3"/>
        <v>1</v>
      </c>
      <c r="AA12" s="2">
        <f t="shared" si="4"/>
        <v>0</v>
      </c>
      <c r="AB12" s="2">
        <f t="shared" si="5"/>
        <v>0</v>
      </c>
      <c r="AF12" s="1" t="s">
        <v>49</v>
      </c>
    </row>
    <row r="13" spans="1:32" x14ac:dyDescent="0.35">
      <c r="A13" s="26">
        <f t="shared" si="7"/>
        <v>0</v>
      </c>
      <c r="B13" s="29" cm="1">
        <f t="array" ref="B13">_xlfn.IFS(Y13=$Z$2,IF(U13="","",IF(G13/F13=0,U13/Q13,G13/F13)),Y13=$Z$3,0,Y13=$Z$4,1)</f>
        <v>1</v>
      </c>
      <c r="C13" s="55">
        <f t="shared" si="11"/>
        <v>1</v>
      </c>
      <c r="D13" s="49"/>
      <c r="E13" s="48"/>
      <c r="F13" s="24">
        <f t="shared" si="12"/>
        <v>0</v>
      </c>
      <c r="G13" s="56">
        <f t="shared" si="8"/>
        <v>0</v>
      </c>
      <c r="H13" s="56">
        <f t="shared" si="9"/>
        <v>0</v>
      </c>
      <c r="I13" s="56" cm="1">
        <f t="array" ref="I13">_xlfn.IFS(Y13=$Z$4,F13,Y13=$Z$3,0,Y13=#REF!,0,Y13=$Z$2,F13-1)</f>
        <v>0</v>
      </c>
      <c r="J13" s="56" cm="1">
        <f t="array" ref="J13">_xlfn.IFS(Y13=$Z$4,F13,Y13=$Z$3,0,Y13=#REF!,0,Y13=$Z$2,F13-1)</f>
        <v>0</v>
      </c>
      <c r="K13" s="59">
        <v>0</v>
      </c>
      <c r="L13" s="48"/>
      <c r="M13" s="55"/>
      <c r="N13" s="55"/>
      <c r="O13" s="55"/>
      <c r="P13" s="49"/>
      <c r="Q13" s="57">
        <f t="shared" si="1"/>
        <v>0.16666666666666666</v>
      </c>
      <c r="R13" s="49">
        <v>0</v>
      </c>
      <c r="S13" s="57"/>
      <c r="T13" s="58">
        <f t="shared" si="2"/>
        <v>0</v>
      </c>
      <c r="U13" s="58">
        <f t="shared" si="10"/>
        <v>0</v>
      </c>
      <c r="V13" s="49" t="s">
        <v>122</v>
      </c>
      <c r="W13" s="141" t="s">
        <v>65</v>
      </c>
      <c r="X13"/>
      <c r="Y13" s="1" t="s">
        <v>23</v>
      </c>
      <c r="Z13" s="13">
        <f t="shared" si="3"/>
        <v>1</v>
      </c>
      <c r="AA13" s="2">
        <f t="shared" si="4"/>
        <v>0</v>
      </c>
      <c r="AB13" s="2">
        <f t="shared" si="5"/>
        <v>0</v>
      </c>
      <c r="AF13" s="1" t="s">
        <v>68</v>
      </c>
    </row>
    <row r="14" spans="1:32" x14ac:dyDescent="0.35">
      <c r="A14" s="26">
        <f t="shared" si="7"/>
        <v>0</v>
      </c>
      <c r="B14" s="29" cm="1">
        <f t="array" ref="B14">_xlfn.IFS(Y14=$Z$2,IF(U14="","",IF(G14/F14=0,U14/Q14,G14/F14)),Y14=$Z$3,0,Y14=$Z$4,1)</f>
        <v>1</v>
      </c>
      <c r="C14" s="55">
        <f t="shared" si="11"/>
        <v>1</v>
      </c>
      <c r="D14" s="49"/>
      <c r="E14" s="48"/>
      <c r="F14" s="24">
        <f t="shared" si="12"/>
        <v>0</v>
      </c>
      <c r="G14" s="56">
        <f t="shared" si="8"/>
        <v>0</v>
      </c>
      <c r="H14" s="56">
        <f t="shared" si="9"/>
        <v>0</v>
      </c>
      <c r="I14" s="56" cm="1">
        <f t="array" ref="I14">_xlfn.IFS(Y14=$Z$4,F14,Y14=$Z$3,0,Y14=#REF!,0,Y14=$Z$2,F14-1)</f>
        <v>0</v>
      </c>
      <c r="J14" s="56" cm="1">
        <f t="array" ref="J14">_xlfn.IFS(Y14=$Z$4,F14,Y14=$Z$3,0,Y14=#REF!,0,Y14=$Z$2,F14-1)</f>
        <v>0</v>
      </c>
      <c r="K14" s="59">
        <v>0</v>
      </c>
      <c r="L14" s="48"/>
      <c r="M14" s="55"/>
      <c r="N14" s="55"/>
      <c r="O14" s="55"/>
      <c r="P14" s="49"/>
      <c r="Q14" s="57">
        <f t="shared" si="1"/>
        <v>0.16666666666666666</v>
      </c>
      <c r="R14" s="49">
        <v>0</v>
      </c>
      <c r="S14" s="57"/>
      <c r="T14" s="58">
        <f t="shared" si="2"/>
        <v>0</v>
      </c>
      <c r="U14" s="58">
        <f t="shared" si="10"/>
        <v>0</v>
      </c>
      <c r="V14" s="49" t="s">
        <v>122</v>
      </c>
      <c r="W14" s="141" t="s">
        <v>65</v>
      </c>
      <c r="X14"/>
      <c r="Y14" s="1" t="s">
        <v>23</v>
      </c>
      <c r="Z14" s="13">
        <f t="shared" si="3"/>
        <v>1</v>
      </c>
      <c r="AA14" s="2">
        <f t="shared" si="4"/>
        <v>0</v>
      </c>
      <c r="AB14" s="2">
        <f t="shared" si="5"/>
        <v>0</v>
      </c>
      <c r="AF14" s="1" t="s">
        <v>50</v>
      </c>
    </row>
    <row r="15" spans="1:32" x14ac:dyDescent="0.35">
      <c r="A15" s="26">
        <f t="shared" si="7"/>
        <v>0</v>
      </c>
      <c r="B15" s="29" cm="1">
        <f t="array" ref="B15">_xlfn.IFS(Y15=$Z$2,IF(U15="","",IF(G15/F15=0,U15/Q15,G15/F15)),Y15=$Z$3,0,Y15=$Z$4,1)</f>
        <v>1</v>
      </c>
      <c r="C15" s="55">
        <f t="shared" si="11"/>
        <v>1</v>
      </c>
      <c r="D15" s="49"/>
      <c r="E15" s="48"/>
      <c r="F15" s="24">
        <f t="shared" si="12"/>
        <v>0</v>
      </c>
      <c r="G15" s="56">
        <f t="shared" si="8"/>
        <v>0</v>
      </c>
      <c r="H15" s="56">
        <f t="shared" si="9"/>
        <v>0</v>
      </c>
      <c r="I15" s="56" cm="1">
        <f t="array" ref="I15">_xlfn.IFS(Y15=$Z$4,F15,Y15=$Z$3,0,Y15=#REF!,0,Y15=$Z$2,F15-1)</f>
        <v>0</v>
      </c>
      <c r="J15" s="56" cm="1">
        <f t="array" ref="J15">_xlfn.IFS(Y15=$Z$4,F15,Y15=$Z$3,0,Y15=#REF!,0,Y15=$Z$2,F15-1)</f>
        <v>0</v>
      </c>
      <c r="K15" s="59">
        <v>0</v>
      </c>
      <c r="L15" s="48"/>
      <c r="M15" s="55"/>
      <c r="N15" s="55"/>
      <c r="O15" s="55"/>
      <c r="P15" s="49"/>
      <c r="Q15" s="57">
        <f t="shared" si="1"/>
        <v>0.16666666666666666</v>
      </c>
      <c r="R15" s="49">
        <v>0</v>
      </c>
      <c r="S15" s="57"/>
      <c r="T15" s="58">
        <f t="shared" si="2"/>
        <v>0</v>
      </c>
      <c r="U15" s="58">
        <f t="shared" si="10"/>
        <v>0</v>
      </c>
      <c r="V15" s="49" t="s">
        <v>122</v>
      </c>
      <c r="W15" s="141" t="s">
        <v>65</v>
      </c>
      <c r="X15"/>
      <c r="Y15" s="1" t="s">
        <v>23</v>
      </c>
      <c r="Z15" s="13">
        <f>IF(Q15="","",(Q15-T15)/Q15)</f>
        <v>1</v>
      </c>
      <c r="AA15" s="2">
        <f>IF(Y15=$Z$2,IF(B15="","",AB15*B15),AB15)</f>
        <v>0</v>
      </c>
      <c r="AB15" s="2">
        <f t="shared" si="5"/>
        <v>0</v>
      </c>
      <c r="AF15" s="1" t="s">
        <v>51</v>
      </c>
    </row>
    <row r="16" spans="1:32" x14ac:dyDescent="0.35">
      <c r="A16" s="26">
        <f t="shared" si="7"/>
        <v>0</v>
      </c>
      <c r="B16" s="29" cm="1">
        <f t="array" ref="B16">_xlfn.IFS(Y16=$Z$2,IF(U16="","",IF(G16/F16=0,U16/Q16,G16/F16)),Y16=$Z$3,0,Y16=$Z$4,1)</f>
        <v>1</v>
      </c>
      <c r="C16" s="55">
        <f t="shared" si="11"/>
        <v>1</v>
      </c>
      <c r="D16" s="49"/>
      <c r="E16" s="48"/>
      <c r="F16" s="24">
        <f t="shared" si="12"/>
        <v>0</v>
      </c>
      <c r="G16" s="56">
        <f t="shared" si="8"/>
        <v>0</v>
      </c>
      <c r="H16" s="56">
        <f t="shared" si="9"/>
        <v>0</v>
      </c>
      <c r="I16" s="56" cm="1">
        <f t="array" ref="I16">_xlfn.IFS(Y16=$Z$4,F16,Y16=$Z$3,0,Y16=#REF!,0,Y16=$Z$2,F16-1)</f>
        <v>0</v>
      </c>
      <c r="J16" s="56" cm="1">
        <f t="array" ref="J16">_xlfn.IFS(Y16=$Z$4,F16,Y16=$Z$3,0,Y16=#REF!,0,Y16=$Z$2,F16-1)</f>
        <v>0</v>
      </c>
      <c r="K16" s="59">
        <v>0</v>
      </c>
      <c r="L16" s="48"/>
      <c r="M16" s="55"/>
      <c r="N16" s="55"/>
      <c r="O16" s="55"/>
      <c r="P16" s="49"/>
      <c r="Q16" s="57">
        <f>IF(O16="Continued","",(IF(D16="Q",F16*$O$1,IF(D16="O",F16*$O$2,F16*$O$3))*IF(F16&lt;$F$2,1,IF(F16&lt;$F$3,0.9,0.875)))+$F$1)</f>
        <v>0.16666666666666666</v>
      </c>
      <c r="R16" s="49">
        <v>0</v>
      </c>
      <c r="S16" s="57"/>
      <c r="T16" s="58">
        <f t="shared" si="2"/>
        <v>0</v>
      </c>
      <c r="U16" s="58">
        <f t="shared" si="10"/>
        <v>0</v>
      </c>
      <c r="V16" s="49" t="s">
        <v>122</v>
      </c>
      <c r="W16" s="141" t="s">
        <v>65</v>
      </c>
      <c r="X16"/>
      <c r="Y16" s="1" t="s">
        <v>23</v>
      </c>
      <c r="Z16" s="13">
        <f t="shared" ref="Z16:Z54" si="13">IF(Q16="","",(Q16-T16)/Q16)</f>
        <v>1</v>
      </c>
      <c r="AA16" s="2">
        <f t="shared" ref="AA16:AA54" si="14">IF(Y16=$Z$2,IF(B16="","",AB16*B16),AB16)</f>
        <v>0</v>
      </c>
      <c r="AB16" s="2">
        <f t="shared" si="5"/>
        <v>0</v>
      </c>
      <c r="AF16" s="1" t="s">
        <v>52</v>
      </c>
    </row>
    <row r="17" spans="1:33" x14ac:dyDescent="0.35">
      <c r="A17" s="26">
        <f t="shared" si="7"/>
        <v>0</v>
      </c>
      <c r="B17" s="29" cm="1">
        <f t="array" ref="B17">_xlfn.IFS(Y17=$Z$2,IF(U17="","",IF(G17/F17=0,U17/Q17,G17/F17)),Y17=$Z$3,0,Y17=$Z$4,1)</f>
        <v>1</v>
      </c>
      <c r="C17" s="55">
        <f t="shared" si="11"/>
        <v>1</v>
      </c>
      <c r="D17" s="49"/>
      <c r="E17" s="48"/>
      <c r="F17" s="24">
        <f t="shared" si="12"/>
        <v>0</v>
      </c>
      <c r="G17" s="56">
        <f t="shared" si="8"/>
        <v>0</v>
      </c>
      <c r="H17" s="56">
        <f t="shared" si="9"/>
        <v>0</v>
      </c>
      <c r="I17" s="56" cm="1">
        <f t="array" ref="I17">_xlfn.IFS(Y17=$Z$4,F17,Y17=$Z$3,0,Y17=#REF!,0,Y17=$Z$2,F17-1)</f>
        <v>0</v>
      </c>
      <c r="J17" s="56" cm="1">
        <f t="array" ref="J17">_xlfn.IFS(Y17=$Z$4,F17,Y17=$Z$3,0,Y17=#REF!,0,Y17=$Z$2,F17-1)</f>
        <v>0</v>
      </c>
      <c r="K17" s="59">
        <v>0</v>
      </c>
      <c r="L17" s="48"/>
      <c r="M17" s="55"/>
      <c r="N17" s="55"/>
      <c r="O17" s="55"/>
      <c r="P17" s="49"/>
      <c r="Q17" s="57">
        <f>IF(O17="Continued","",(IF(D17="Q",F17*$O$1,IF(D17="O",F17*$O$2,F17*$O$3))*IF(F17&lt;$F$2,1,IF(F17&lt;$F$3,0.9,0.875)))+$F$1)</f>
        <v>0.16666666666666666</v>
      </c>
      <c r="R17" s="49">
        <v>0</v>
      </c>
      <c r="S17" s="57"/>
      <c r="T17" s="58">
        <f t="shared" si="2"/>
        <v>0</v>
      </c>
      <c r="U17" s="58">
        <f t="shared" si="10"/>
        <v>0</v>
      </c>
      <c r="V17" s="49" t="s">
        <v>122</v>
      </c>
      <c r="W17" s="141" t="s">
        <v>65</v>
      </c>
      <c r="Y17" s="1" t="s">
        <v>23</v>
      </c>
      <c r="Z17" s="13">
        <f t="shared" si="13"/>
        <v>1</v>
      </c>
      <c r="AA17" s="2">
        <f t="shared" si="14"/>
        <v>0</v>
      </c>
      <c r="AB17" s="2">
        <f t="shared" si="5"/>
        <v>0</v>
      </c>
    </row>
    <row r="18" spans="1:33" x14ac:dyDescent="0.35">
      <c r="A18" s="26">
        <f t="shared" si="7"/>
        <v>0</v>
      </c>
      <c r="B18" s="29" cm="1">
        <f t="array" ref="B18">_xlfn.IFS(Y18=$Z$2,IF(U18="","",IF(G18/F18=0,U18/Q18,G18/F18)),Y18=$Z$3,0,Y18=$Z$4,1)</f>
        <v>1</v>
      </c>
      <c r="C18" s="55">
        <f t="shared" si="11"/>
        <v>1</v>
      </c>
      <c r="D18" s="49"/>
      <c r="E18" s="48"/>
      <c r="F18" s="24">
        <f t="shared" si="12"/>
        <v>0</v>
      </c>
      <c r="G18" s="56">
        <f t="shared" si="8"/>
        <v>0</v>
      </c>
      <c r="H18" s="56">
        <f t="shared" si="9"/>
        <v>0</v>
      </c>
      <c r="I18" s="56" cm="1">
        <f t="array" ref="I18">_xlfn.IFS(Y18=$Z$4,F18,Y18=$Z$3,0,Y18=#REF!,0,Y18=$Z$2,F18-1)</f>
        <v>0</v>
      </c>
      <c r="J18" s="56" cm="1">
        <f t="array" ref="J18">_xlfn.IFS(Y18=$Z$4,F18,Y18=$Z$3,0,Y18=#REF!,0,Y18=$Z$2,F18-1)</f>
        <v>0</v>
      </c>
      <c r="K18" s="59">
        <v>0</v>
      </c>
      <c r="L18" s="48"/>
      <c r="M18" s="55"/>
      <c r="N18" s="55"/>
      <c r="O18" s="55"/>
      <c r="P18" s="49"/>
      <c r="Q18" s="57">
        <f>IF(O18="Continued","",(IF(D18="Q",F18*$O$1,IF(D18="O",F18*$O$2,F18*$O$3))*IF(F18&lt;$F$2,1,IF(F18&lt;$F$3,0.9,0.875)))+$F$1)</f>
        <v>0.16666666666666666</v>
      </c>
      <c r="R18" s="49">
        <v>0</v>
      </c>
      <c r="S18" s="57"/>
      <c r="T18" s="58">
        <f t="shared" si="2"/>
        <v>0</v>
      </c>
      <c r="U18" s="58">
        <f t="shared" si="10"/>
        <v>0</v>
      </c>
      <c r="V18" s="49" t="s">
        <v>122</v>
      </c>
      <c r="W18" s="141" t="s">
        <v>65</v>
      </c>
      <c r="X18"/>
      <c r="Y18" s="1" t="s">
        <v>23</v>
      </c>
      <c r="Z18" s="13">
        <f t="shared" si="13"/>
        <v>1</v>
      </c>
      <c r="AA18" s="2">
        <f t="shared" si="14"/>
        <v>0</v>
      </c>
      <c r="AB18" s="2">
        <f t="shared" si="5"/>
        <v>0</v>
      </c>
    </row>
    <row r="19" spans="1:33" x14ac:dyDescent="0.35">
      <c r="A19" s="26">
        <f t="shared" si="7"/>
        <v>0</v>
      </c>
      <c r="B19" s="29" cm="1">
        <f t="array" ref="B19">_xlfn.IFS(Y19=$Z$2,IF(U19="","",IF(G19/F19=0,U19/Q19,G19/F19)),Y19=$Z$3,0,Y19=$Z$4,1)</f>
        <v>1</v>
      </c>
      <c r="C19" s="55">
        <f t="shared" si="11"/>
        <v>1</v>
      </c>
      <c r="D19" s="49"/>
      <c r="E19" s="48"/>
      <c r="F19" s="24">
        <f t="shared" si="12"/>
        <v>0</v>
      </c>
      <c r="G19" s="56">
        <f t="shared" si="8"/>
        <v>0</v>
      </c>
      <c r="H19" s="56">
        <f t="shared" si="9"/>
        <v>0</v>
      </c>
      <c r="I19" s="56" cm="1">
        <f t="array" ref="I19">_xlfn.IFS(Y19=$Z$4,F19,Y19=$Z$3,0,Y19=#REF!,0,Y19=$Z$2,F19-1)</f>
        <v>0</v>
      </c>
      <c r="J19" s="56" cm="1">
        <f t="array" ref="J19">_xlfn.IFS(Y19=$Z$4,F19,Y19=$Z$3,0,Y19=#REF!,0,Y19=$Z$2,F19-1)</f>
        <v>0</v>
      </c>
      <c r="K19" s="59">
        <v>0</v>
      </c>
      <c r="L19" s="48"/>
      <c r="M19" s="55"/>
      <c r="N19" s="55"/>
      <c r="O19" s="55"/>
      <c r="P19" s="49"/>
      <c r="Q19" s="57">
        <f>IF(O19="Continued","",(IF(D19="Q",F19*$O$1,IF(D19="O",F19*$O$2,F19*$O$3))*IF(F19&lt;$F$2,1,IF(F19&lt;$F$3,0.9,0.875)))+$F$1)</f>
        <v>0.16666666666666666</v>
      </c>
      <c r="R19" s="49">
        <v>0</v>
      </c>
      <c r="S19" s="57"/>
      <c r="T19" s="58">
        <f t="shared" si="2"/>
        <v>0</v>
      </c>
      <c r="U19" s="58">
        <f t="shared" si="10"/>
        <v>0</v>
      </c>
      <c r="V19" s="49" t="s">
        <v>122</v>
      </c>
      <c r="W19" s="141" t="s">
        <v>65</v>
      </c>
      <c r="X19"/>
      <c r="Y19" s="1" t="s">
        <v>23</v>
      </c>
      <c r="Z19" s="13">
        <f t="shared" si="13"/>
        <v>1</v>
      </c>
      <c r="AA19" s="2">
        <f t="shared" si="14"/>
        <v>0</v>
      </c>
      <c r="AB19" s="2">
        <f t="shared" si="5"/>
        <v>0</v>
      </c>
    </row>
    <row r="20" spans="1:33" s="4" customFormat="1" x14ac:dyDescent="0.35">
      <c r="A20" s="26">
        <f t="shared" si="7"/>
        <v>0</v>
      </c>
      <c r="B20" s="29" cm="1">
        <f t="array" ref="B20">_xlfn.IFS(Y20=$Z$2,IF(U20="","",IF(G20/F20=0,U20/Q20,G20/F20)),Y20=$Z$3,0,Y20=$Z$4,1)</f>
        <v>1</v>
      </c>
      <c r="C20" s="55">
        <f t="shared" si="11"/>
        <v>1</v>
      </c>
      <c r="D20" s="49"/>
      <c r="E20" s="48"/>
      <c r="F20" s="24">
        <f t="shared" si="12"/>
        <v>0</v>
      </c>
      <c r="G20" s="56">
        <f t="shared" si="8"/>
        <v>0</v>
      </c>
      <c r="H20" s="56">
        <f t="shared" si="9"/>
        <v>0</v>
      </c>
      <c r="I20" s="56" cm="1">
        <f t="array" ref="I20">_xlfn.IFS(Y20=$Z$4,F20,Y20=$Z$3,0,Y20=#REF!,0,Y20=$Z$2,F20-1)</f>
        <v>0</v>
      </c>
      <c r="J20" s="56" cm="1">
        <f t="array" ref="J20">_xlfn.IFS(Y20=$Z$4,F20,Y20=$Z$3,0,Y20=#REF!,0,Y20=$Z$2,F20-1)</f>
        <v>0</v>
      </c>
      <c r="K20" s="59">
        <v>0</v>
      </c>
      <c r="L20" s="48"/>
      <c r="M20" s="55"/>
      <c r="N20" s="55"/>
      <c r="O20" s="55"/>
      <c r="P20" s="49"/>
      <c r="Q20" s="57">
        <f>IF(O20="Continued","",(IF(D20="Q",F20*$O$1,IF(D20="O",F20*$O$2,F20*$O$3))*IF(F20&lt;$F$2,1,IF(F20&lt;$F$3,0.9,0.875)))+$F$1)</f>
        <v>0.16666666666666666</v>
      </c>
      <c r="R20" s="49">
        <v>0</v>
      </c>
      <c r="S20" s="57"/>
      <c r="T20" s="58">
        <f t="shared" si="2"/>
        <v>0</v>
      </c>
      <c r="U20" s="58">
        <f t="shared" si="10"/>
        <v>0</v>
      </c>
      <c r="V20" s="49" t="s">
        <v>122</v>
      </c>
      <c r="W20" s="141" t="s">
        <v>65</v>
      </c>
      <c r="X20"/>
      <c r="Y20" s="1" t="s">
        <v>23</v>
      </c>
      <c r="Z20" s="13">
        <f t="shared" si="13"/>
        <v>1</v>
      </c>
      <c r="AA20" s="2">
        <f t="shared" si="14"/>
        <v>0</v>
      </c>
      <c r="AB20" s="2">
        <f t="shared" si="5"/>
        <v>0</v>
      </c>
      <c r="AC20" s="1"/>
      <c r="AD20" s="1"/>
      <c r="AE20" s="1"/>
      <c r="AF20" s="45" t="s">
        <v>64</v>
      </c>
      <c r="AG20" s="1"/>
    </row>
    <row r="21" spans="1:33" s="4" customFormat="1" x14ac:dyDescent="0.35">
      <c r="A21" s="26">
        <f t="shared" si="7"/>
        <v>0</v>
      </c>
      <c r="B21" s="29" cm="1">
        <f t="array" ref="B21">_xlfn.IFS(Y21=$Z$2,IF(U21="","",IF(G21/F21=0,U21/Q21,G21/F21)),Y21=$Z$3,0,Y21=$Z$4,1)</f>
        <v>1</v>
      </c>
      <c r="C21" s="55">
        <f t="shared" si="11"/>
        <v>1</v>
      </c>
      <c r="D21" s="49"/>
      <c r="E21" s="48"/>
      <c r="F21" s="24">
        <f t="shared" si="12"/>
        <v>0</v>
      </c>
      <c r="G21" s="56">
        <f t="shared" si="8"/>
        <v>0</v>
      </c>
      <c r="H21" s="56">
        <f t="shared" si="9"/>
        <v>0</v>
      </c>
      <c r="I21" s="56" cm="1">
        <f t="array" ref="I21">_xlfn.IFS(Y21=$Z$4,F21,Y21=$Z$3,0,Y21=#REF!,0,Y21=$Z$2,F21-1)</f>
        <v>0</v>
      </c>
      <c r="J21" s="56" cm="1">
        <f t="array" ref="J21">_xlfn.IFS(Y21=$Z$4,F21,Y21=$Z$3,0,Y21=#REF!,0,Y21=$Z$2,F21-1)</f>
        <v>0</v>
      </c>
      <c r="K21" s="59">
        <v>0</v>
      </c>
      <c r="L21" s="48"/>
      <c r="M21" s="55"/>
      <c r="N21" s="55"/>
      <c r="O21" s="55"/>
      <c r="P21" s="49"/>
      <c r="Q21" s="57">
        <f t="shared" ref="Q21:Q49" si="15">(IF(D21="Q",F21*$O$1,IF(D21="O",F21*$O$2,F21*$O$3))*IF(F21&lt;$F$2,1,IF(F21&lt;$F$3,0.9,0.875)))+$F$1</f>
        <v>0.16666666666666666</v>
      </c>
      <c r="R21" s="49">
        <v>0</v>
      </c>
      <c r="S21" s="57"/>
      <c r="T21" s="58">
        <f t="shared" si="2"/>
        <v>0</v>
      </c>
      <c r="U21" s="58">
        <f t="shared" si="10"/>
        <v>0</v>
      </c>
      <c r="V21" s="49" t="s">
        <v>122</v>
      </c>
      <c r="W21" s="141" t="s">
        <v>65</v>
      </c>
      <c r="X21"/>
      <c r="Y21" s="1" t="s">
        <v>23</v>
      </c>
      <c r="Z21" s="13">
        <f t="shared" si="13"/>
        <v>1</v>
      </c>
      <c r="AA21" s="2">
        <f t="shared" si="14"/>
        <v>0</v>
      </c>
      <c r="AB21" s="2">
        <f t="shared" si="5"/>
        <v>0</v>
      </c>
      <c r="AC21" s="1"/>
      <c r="AD21" s="1"/>
      <c r="AE21" s="1"/>
      <c r="AF21" s="1" t="s">
        <v>65</v>
      </c>
      <c r="AG21" s="1"/>
    </row>
    <row r="22" spans="1:33" s="4" customFormat="1" x14ac:dyDescent="0.35">
      <c r="A22" s="26">
        <f t="shared" si="7"/>
        <v>0</v>
      </c>
      <c r="B22" s="29" cm="1">
        <f t="array" ref="B22">_xlfn.IFS(Y22=$Z$2,IF(U22="","",IF(G22/F22=0,U22/Q22,G22/F22)),Y22=$Z$3,0,Y22=$Z$4,1)</f>
        <v>1</v>
      </c>
      <c r="C22" s="55">
        <f t="shared" si="11"/>
        <v>1</v>
      </c>
      <c r="D22" s="49"/>
      <c r="E22" s="48"/>
      <c r="F22" s="24">
        <f t="shared" si="12"/>
        <v>0</v>
      </c>
      <c r="G22" s="56">
        <f t="shared" si="8"/>
        <v>0</v>
      </c>
      <c r="H22" s="56">
        <f t="shared" si="9"/>
        <v>0</v>
      </c>
      <c r="I22" s="56" cm="1">
        <f t="array" ref="I22">_xlfn.IFS(Y22=$Z$4,F22,Y22=$Z$3,0,Y22=#REF!,0,Y22=$Z$2,F22-1)</f>
        <v>0</v>
      </c>
      <c r="J22" s="56" cm="1">
        <f t="array" ref="J22">_xlfn.IFS(Y22=$Z$4,F22,Y22=$Z$3,0,Y22=#REF!,0,Y22=$Z$2,F22-1)</f>
        <v>0</v>
      </c>
      <c r="K22" s="59">
        <v>0</v>
      </c>
      <c r="L22" s="48"/>
      <c r="M22" s="55"/>
      <c r="N22" s="55"/>
      <c r="O22" s="55"/>
      <c r="P22" s="49"/>
      <c r="Q22" s="57">
        <f t="shared" si="15"/>
        <v>0.16666666666666666</v>
      </c>
      <c r="R22" s="49">
        <v>0</v>
      </c>
      <c r="S22" s="57"/>
      <c r="T22" s="58">
        <f t="shared" si="2"/>
        <v>0</v>
      </c>
      <c r="U22" s="58">
        <f t="shared" si="10"/>
        <v>0</v>
      </c>
      <c r="V22" s="49" t="s">
        <v>122</v>
      </c>
      <c r="W22" s="141" t="s">
        <v>65</v>
      </c>
      <c r="X22"/>
      <c r="Y22" s="1" t="s">
        <v>23</v>
      </c>
      <c r="Z22" s="13">
        <f t="shared" si="13"/>
        <v>1</v>
      </c>
      <c r="AA22" s="2">
        <f t="shared" si="14"/>
        <v>0</v>
      </c>
      <c r="AB22" s="2">
        <f t="shared" si="5"/>
        <v>0</v>
      </c>
      <c r="AC22" s="1"/>
      <c r="AD22" s="1"/>
      <c r="AE22" s="1"/>
      <c r="AF22" s="1" t="s">
        <v>66</v>
      </c>
      <c r="AG22" s="1"/>
    </row>
    <row r="23" spans="1:33" s="4" customFormat="1" x14ac:dyDescent="0.35">
      <c r="A23" s="26">
        <f t="shared" si="7"/>
        <v>0</v>
      </c>
      <c r="B23" s="29" cm="1">
        <f t="array" ref="B23">_xlfn.IFS(Y23=$Z$2,IF(U23="","",IF(G23/F23=0,U23/Q23,G23/F23)),Y23=$Z$3,0,Y23=$Z$4,1)</f>
        <v>1</v>
      </c>
      <c r="C23" s="55">
        <f t="shared" si="11"/>
        <v>1</v>
      </c>
      <c r="D23" s="49"/>
      <c r="E23" s="48"/>
      <c r="F23" s="24">
        <f t="shared" si="12"/>
        <v>0</v>
      </c>
      <c r="G23" s="56">
        <f t="shared" si="8"/>
        <v>0</v>
      </c>
      <c r="H23" s="56">
        <f t="shared" si="9"/>
        <v>0</v>
      </c>
      <c r="I23" s="56" cm="1">
        <f t="array" ref="I23">_xlfn.IFS(Y23=$Z$4,F23,Y23=$Z$3,0,Y23=#REF!,0,Y23=$Z$2,F23-1)</f>
        <v>0</v>
      </c>
      <c r="J23" s="56" cm="1">
        <f t="array" ref="J23">_xlfn.IFS(Y23=$Z$4,F23,Y23=$Z$3,0,Y23=#REF!,0,Y23=$Z$2,F23-1)</f>
        <v>0</v>
      </c>
      <c r="K23" s="59">
        <v>0</v>
      </c>
      <c r="L23" s="48"/>
      <c r="M23" s="55"/>
      <c r="N23" s="55"/>
      <c r="O23" s="55"/>
      <c r="P23" s="49"/>
      <c r="Q23" s="57">
        <f t="shared" si="15"/>
        <v>0.16666666666666666</v>
      </c>
      <c r="R23" s="49">
        <v>0</v>
      </c>
      <c r="S23" s="57"/>
      <c r="T23" s="58">
        <f t="shared" si="2"/>
        <v>0</v>
      </c>
      <c r="U23" s="58">
        <f t="shared" si="10"/>
        <v>0</v>
      </c>
      <c r="V23" s="49" t="s">
        <v>122</v>
      </c>
      <c r="W23" s="141" t="s">
        <v>65</v>
      </c>
      <c r="X23"/>
      <c r="Y23" s="1" t="s">
        <v>23</v>
      </c>
      <c r="Z23" s="13">
        <f t="shared" si="13"/>
        <v>1</v>
      </c>
      <c r="AA23" s="2">
        <f t="shared" si="14"/>
        <v>0</v>
      </c>
      <c r="AB23" s="2">
        <f t="shared" si="5"/>
        <v>0</v>
      </c>
      <c r="AC23" s="1"/>
      <c r="AD23" s="1"/>
      <c r="AE23" s="1"/>
      <c r="AF23" s="1" t="s">
        <v>67</v>
      </c>
      <c r="AG23" s="1"/>
    </row>
    <row r="24" spans="1:33" s="4" customFormat="1" x14ac:dyDescent="0.35">
      <c r="A24" s="26">
        <f t="shared" si="7"/>
        <v>0</v>
      </c>
      <c r="B24" s="29" cm="1">
        <f t="array" ref="B24">_xlfn.IFS(Y24=$Z$2,IF(U24="","",IF(G24/F24=0,U24/Q24,G24/F24)),Y24=$Z$3,0,Y24=$Z$4,1)</f>
        <v>1</v>
      </c>
      <c r="C24" s="55">
        <f t="shared" si="11"/>
        <v>1</v>
      </c>
      <c r="D24" s="49"/>
      <c r="E24" s="48"/>
      <c r="F24" s="24">
        <f t="shared" si="0"/>
        <v>0</v>
      </c>
      <c r="G24" s="56">
        <f t="shared" ref="G13:G76" si="16">IF(O24="Continued","",F24)</f>
        <v>0</v>
      </c>
      <c r="H24" s="56">
        <f t="shared" ref="H13:H76" si="17">IF(O24="Continued","",F24)</f>
        <v>0</v>
      </c>
      <c r="I24" s="56" cm="1">
        <f t="array" ref="I24">_xlfn.IFS(Y24=$Z$4,F24,Y24=$Z$3,0,Y24=#REF!,0,Y24=$Z$2,F24-1)</f>
        <v>0</v>
      </c>
      <c r="J24" s="56" cm="1">
        <f t="array" ref="J24">_xlfn.IFS(Y24=$Z$4,F24,Y24=$Z$3,0,Y24=#REF!,0,Y24=$Z$2,F24-1)</f>
        <v>0</v>
      </c>
      <c r="K24" s="59">
        <v>0</v>
      </c>
      <c r="L24" s="48"/>
      <c r="M24" s="55"/>
      <c r="N24" s="55"/>
      <c r="O24" s="55"/>
      <c r="P24" s="49"/>
      <c r="Q24" s="57">
        <f t="shared" si="15"/>
        <v>0.16666666666666666</v>
      </c>
      <c r="R24" s="49">
        <v>0</v>
      </c>
      <c r="S24" s="57"/>
      <c r="T24" s="58">
        <f t="shared" si="2"/>
        <v>0</v>
      </c>
      <c r="U24" s="58">
        <f t="shared" si="10"/>
        <v>0</v>
      </c>
      <c r="V24" s="49" t="s">
        <v>122</v>
      </c>
      <c r="W24" s="141" t="s">
        <v>65</v>
      </c>
      <c r="X24"/>
      <c r="Y24" s="1" t="s">
        <v>23</v>
      </c>
      <c r="Z24" s="13">
        <f t="shared" si="13"/>
        <v>1</v>
      </c>
      <c r="AA24" s="2">
        <f t="shared" si="14"/>
        <v>0</v>
      </c>
      <c r="AB24" s="2">
        <f t="shared" si="5"/>
        <v>0</v>
      </c>
      <c r="AC24" s="1"/>
      <c r="AD24" s="1"/>
      <c r="AE24" s="1"/>
      <c r="AF24" s="1"/>
      <c r="AG24" s="1"/>
    </row>
    <row r="25" spans="1:33" s="4" customFormat="1" x14ac:dyDescent="0.35">
      <c r="A25" s="26">
        <f t="shared" si="7"/>
        <v>0</v>
      </c>
      <c r="B25" s="29" cm="1">
        <f t="array" ref="B25">_xlfn.IFS(Y25=$Z$2,IF(U25="","",IF(G25/F25=0,U25/Q25,G25/F25)),Y25=$Z$3,0,Y25=$Z$4,1)</f>
        <v>1</v>
      </c>
      <c r="C25" s="55">
        <f t="shared" si="11"/>
        <v>1</v>
      </c>
      <c r="D25" s="49"/>
      <c r="E25" s="48"/>
      <c r="F25" s="24">
        <f t="shared" si="0"/>
        <v>0</v>
      </c>
      <c r="G25" s="56">
        <f t="shared" si="16"/>
        <v>0</v>
      </c>
      <c r="H25" s="56">
        <f t="shared" si="17"/>
        <v>0</v>
      </c>
      <c r="I25" s="56" cm="1">
        <f t="array" ref="I25">_xlfn.IFS(Y25=$Z$4,F25,Y25=$Z$3,0,Y25=#REF!,0,Y25=$Z$2,F25-1)</f>
        <v>0</v>
      </c>
      <c r="J25" s="56" cm="1">
        <f t="array" ref="J25">_xlfn.IFS(Y25=$Z$4,F25,Y25=$Z$3,0,Y25=#REF!,0,Y25=$Z$2,F25-1)</f>
        <v>0</v>
      </c>
      <c r="K25" s="59">
        <v>0</v>
      </c>
      <c r="L25" s="48"/>
      <c r="M25" s="55"/>
      <c r="N25" s="55"/>
      <c r="O25" s="55"/>
      <c r="P25" s="49"/>
      <c r="Q25" s="57">
        <f t="shared" si="15"/>
        <v>0.16666666666666666</v>
      </c>
      <c r="R25" s="49">
        <v>0</v>
      </c>
      <c r="S25" s="57"/>
      <c r="T25" s="58">
        <f t="shared" si="2"/>
        <v>0</v>
      </c>
      <c r="U25" s="58">
        <f t="shared" si="10"/>
        <v>0</v>
      </c>
      <c r="V25" s="49" t="s">
        <v>122</v>
      </c>
      <c r="W25" s="141" t="s">
        <v>65</v>
      </c>
      <c r="X25"/>
      <c r="Y25" s="1" t="s">
        <v>23</v>
      </c>
      <c r="Z25" s="13">
        <f t="shared" si="13"/>
        <v>1</v>
      </c>
      <c r="AA25" s="2">
        <f t="shared" si="14"/>
        <v>0</v>
      </c>
      <c r="AB25" s="2">
        <f t="shared" si="5"/>
        <v>0</v>
      </c>
      <c r="AC25" s="1"/>
      <c r="AD25" s="1"/>
      <c r="AE25" s="1"/>
      <c r="AF25" s="1"/>
      <c r="AG25" s="1"/>
    </row>
    <row r="26" spans="1:33" s="4" customFormat="1" x14ac:dyDescent="0.35">
      <c r="A26" s="26">
        <f t="shared" si="7"/>
        <v>0</v>
      </c>
      <c r="B26" s="29" cm="1">
        <f t="array" ref="B26">_xlfn.IFS(Y26=$Z$2,IF(U26="","",IF(G26/F26=0,U26/Q26,G26/F26)),Y26=$Z$3,0,Y26=$Z$4,1)</f>
        <v>1</v>
      </c>
      <c r="C26" s="55">
        <f t="shared" si="11"/>
        <v>1</v>
      </c>
      <c r="D26" s="49"/>
      <c r="E26" s="48"/>
      <c r="F26" s="24">
        <f t="shared" si="0"/>
        <v>0</v>
      </c>
      <c r="G26" s="56">
        <f t="shared" si="16"/>
        <v>0</v>
      </c>
      <c r="H26" s="56">
        <f t="shared" si="17"/>
        <v>0</v>
      </c>
      <c r="I26" s="56" cm="1">
        <f t="array" ref="I26">_xlfn.IFS(Y26=$Z$4,F26,Y26=$Z$3,0,Y26=#REF!,0,Y26=$Z$2,F26-1)</f>
        <v>0</v>
      </c>
      <c r="J26" s="56" cm="1">
        <f t="array" ref="J26">_xlfn.IFS(Y26=$Z$4,F26,Y26=$Z$3,0,Y26=#REF!,0,Y26=$Z$2,F26-1)</f>
        <v>0</v>
      </c>
      <c r="K26" s="59">
        <v>0</v>
      </c>
      <c r="L26" s="48"/>
      <c r="M26" s="55"/>
      <c r="N26" s="55"/>
      <c r="O26" s="55"/>
      <c r="P26" s="49"/>
      <c r="Q26" s="57">
        <f t="shared" si="15"/>
        <v>0.16666666666666666</v>
      </c>
      <c r="R26" s="49">
        <v>0</v>
      </c>
      <c r="S26" s="57"/>
      <c r="T26" s="58">
        <f t="shared" si="2"/>
        <v>0</v>
      </c>
      <c r="U26" s="58">
        <f t="shared" si="10"/>
        <v>0</v>
      </c>
      <c r="V26" s="49" t="s">
        <v>122</v>
      </c>
      <c r="W26" s="141" t="s">
        <v>65</v>
      </c>
      <c r="X26"/>
      <c r="Y26" s="1" t="s">
        <v>23</v>
      </c>
      <c r="Z26" s="13">
        <f t="shared" si="13"/>
        <v>1</v>
      </c>
      <c r="AA26" s="2">
        <f t="shared" si="14"/>
        <v>0</v>
      </c>
      <c r="AB26" s="2">
        <f t="shared" si="5"/>
        <v>0</v>
      </c>
      <c r="AC26" s="1"/>
      <c r="AD26" s="1"/>
      <c r="AE26" s="1"/>
      <c r="AF26" s="1"/>
      <c r="AG26" s="1"/>
    </row>
    <row r="27" spans="1:33" s="4" customFormat="1" x14ac:dyDescent="0.35">
      <c r="A27" s="26">
        <f t="shared" si="7"/>
        <v>0</v>
      </c>
      <c r="B27" s="29" cm="1">
        <f t="array" ref="B27">_xlfn.IFS(Y27=$Z$2,IF(U27="","",IF(G27/F27=0,U27/Q27,G27/F27)),Y27=$Z$3,0,Y27=$Z$4,1)</f>
        <v>1</v>
      </c>
      <c r="C27" s="55">
        <f t="shared" si="11"/>
        <v>1</v>
      </c>
      <c r="D27" s="49"/>
      <c r="E27" s="48"/>
      <c r="F27" s="24">
        <f t="shared" si="0"/>
        <v>0</v>
      </c>
      <c r="G27" s="56">
        <f t="shared" si="16"/>
        <v>0</v>
      </c>
      <c r="H27" s="56">
        <f t="shared" si="17"/>
        <v>0</v>
      </c>
      <c r="I27" s="56" cm="1">
        <f t="array" ref="I27">_xlfn.IFS(Y27=$Z$4,F27,Y27=$Z$3,0,Y27=#REF!,0,Y27=$Z$2,F27-1)</f>
        <v>0</v>
      </c>
      <c r="J27" s="56" cm="1">
        <f t="array" ref="J27">_xlfn.IFS(Y27=$Z$4,F27,Y27=$Z$3,0,Y27=#REF!,0,Y27=$Z$2,F27-1)</f>
        <v>0</v>
      </c>
      <c r="K27" s="59">
        <v>0</v>
      </c>
      <c r="L27" s="48"/>
      <c r="M27" s="55"/>
      <c r="N27" s="55"/>
      <c r="O27" s="55"/>
      <c r="P27" s="49"/>
      <c r="Q27" s="57">
        <f t="shared" si="15"/>
        <v>0.16666666666666666</v>
      </c>
      <c r="R27" s="49">
        <v>0</v>
      </c>
      <c r="S27" s="57"/>
      <c r="T27" s="58">
        <f t="shared" si="2"/>
        <v>0</v>
      </c>
      <c r="U27" s="58">
        <f t="shared" si="10"/>
        <v>0</v>
      </c>
      <c r="V27" s="49" t="s">
        <v>122</v>
      </c>
      <c r="W27" s="141" t="s">
        <v>65</v>
      </c>
      <c r="X27"/>
      <c r="Y27" s="1" t="s">
        <v>23</v>
      </c>
      <c r="Z27" s="13">
        <f t="shared" si="13"/>
        <v>1</v>
      </c>
      <c r="AA27" s="2">
        <f t="shared" si="14"/>
        <v>0</v>
      </c>
      <c r="AB27" s="2">
        <f t="shared" si="5"/>
        <v>0</v>
      </c>
      <c r="AC27" s="1"/>
      <c r="AD27" s="1"/>
      <c r="AE27" s="1"/>
      <c r="AF27" s="1"/>
      <c r="AG27" s="1"/>
    </row>
    <row r="28" spans="1:33" s="4" customFormat="1" x14ac:dyDescent="0.35">
      <c r="A28" s="26">
        <f t="shared" si="7"/>
        <v>0</v>
      </c>
      <c r="B28" s="29" cm="1">
        <f t="array" ref="B28">_xlfn.IFS(Y28=$Z$2,IF(U28="","",IF(G28/F28=0,U28/Q28,G28/F28)),Y28=$Z$3,0,Y28=$Z$4,1)</f>
        <v>1</v>
      </c>
      <c r="C28" s="55">
        <f t="shared" si="11"/>
        <v>1</v>
      </c>
      <c r="D28" s="49"/>
      <c r="E28" s="48"/>
      <c r="F28" s="24">
        <f t="shared" si="0"/>
        <v>0</v>
      </c>
      <c r="G28" s="56">
        <f t="shared" si="16"/>
        <v>0</v>
      </c>
      <c r="H28" s="56">
        <f t="shared" si="17"/>
        <v>0</v>
      </c>
      <c r="I28" s="56" cm="1">
        <f t="array" ref="I28">_xlfn.IFS(Y28=$Z$4,F28,Y28=$Z$3,0,Y28=#REF!,0,Y28=$Z$2,F28-1)</f>
        <v>0</v>
      </c>
      <c r="J28" s="56" cm="1">
        <f t="array" ref="J28">_xlfn.IFS(Y28=$Z$4,F28,Y28=$Z$3,0,Y28=#REF!,0,Y28=$Z$2,F28-1)</f>
        <v>0</v>
      </c>
      <c r="K28" s="59">
        <v>0</v>
      </c>
      <c r="L28" s="48"/>
      <c r="M28" s="55"/>
      <c r="N28" s="55"/>
      <c r="O28" s="55"/>
      <c r="P28" s="49"/>
      <c r="Q28" s="57">
        <f t="shared" si="15"/>
        <v>0.16666666666666666</v>
      </c>
      <c r="R28" s="49">
        <v>0</v>
      </c>
      <c r="S28" s="57"/>
      <c r="T28" s="58">
        <f t="shared" si="2"/>
        <v>0</v>
      </c>
      <c r="U28" s="58">
        <f t="shared" si="10"/>
        <v>0</v>
      </c>
      <c r="V28" s="49" t="s">
        <v>122</v>
      </c>
      <c r="W28" s="141" t="s">
        <v>65</v>
      </c>
      <c r="X28"/>
      <c r="Y28" s="1" t="s">
        <v>23</v>
      </c>
      <c r="Z28" s="13">
        <f t="shared" si="13"/>
        <v>1</v>
      </c>
      <c r="AA28" s="2">
        <f t="shared" si="14"/>
        <v>0</v>
      </c>
      <c r="AB28" s="2">
        <f t="shared" si="5"/>
        <v>0</v>
      </c>
      <c r="AC28" s="1"/>
      <c r="AD28" s="1"/>
      <c r="AE28" s="1"/>
      <c r="AF28" s="1"/>
      <c r="AG28" s="1"/>
    </row>
    <row r="29" spans="1:33" s="4" customFormat="1" x14ac:dyDescent="0.35">
      <c r="A29" s="26">
        <f t="shared" si="7"/>
        <v>0</v>
      </c>
      <c r="B29" s="29" cm="1">
        <f t="array" ref="B29">_xlfn.IFS(Y29=$Z$2,IF(U29="","",IF(G29/F29=0,U29/Q29,G29/F29)),Y29=$Z$3,0,Y29=$Z$4,1)</f>
        <v>1</v>
      </c>
      <c r="C29" s="55">
        <f t="shared" si="11"/>
        <v>1</v>
      </c>
      <c r="D29" s="49"/>
      <c r="E29" s="48"/>
      <c r="F29" s="24">
        <f t="shared" si="0"/>
        <v>0</v>
      </c>
      <c r="G29" s="56">
        <f t="shared" si="16"/>
        <v>0</v>
      </c>
      <c r="H29" s="56">
        <f t="shared" si="17"/>
        <v>0</v>
      </c>
      <c r="I29" s="56" cm="1">
        <f t="array" ref="I29">_xlfn.IFS(Y29=$Z$4,F29,Y29=$Z$3,0,Y29=#REF!,0,Y29=$Z$2,F29-1)</f>
        <v>0</v>
      </c>
      <c r="J29" s="56" cm="1">
        <f t="array" ref="J29">_xlfn.IFS(Y29=$Z$4,F29,Y29=$Z$3,0,Y29=#REF!,0,Y29=$Z$2,F29-1)</f>
        <v>0</v>
      </c>
      <c r="K29" s="59">
        <v>0</v>
      </c>
      <c r="L29" s="48"/>
      <c r="M29" s="55"/>
      <c r="N29" s="55"/>
      <c r="O29" s="55"/>
      <c r="P29" s="49"/>
      <c r="Q29" s="57">
        <f t="shared" si="15"/>
        <v>0.16666666666666666</v>
      </c>
      <c r="R29" s="49">
        <v>0</v>
      </c>
      <c r="S29" s="57"/>
      <c r="T29" s="58">
        <f t="shared" si="2"/>
        <v>0</v>
      </c>
      <c r="U29" s="58">
        <f t="shared" si="10"/>
        <v>0</v>
      </c>
      <c r="V29" s="49" t="s">
        <v>122</v>
      </c>
      <c r="W29" s="141" t="s">
        <v>65</v>
      </c>
      <c r="X29"/>
      <c r="Y29" s="1" t="s">
        <v>23</v>
      </c>
      <c r="Z29" s="13">
        <f t="shared" si="13"/>
        <v>1</v>
      </c>
      <c r="AA29" s="2">
        <f t="shared" si="14"/>
        <v>0</v>
      </c>
      <c r="AB29" s="2">
        <f t="shared" si="5"/>
        <v>0</v>
      </c>
      <c r="AC29" s="1"/>
      <c r="AD29" s="1"/>
      <c r="AE29" s="1"/>
      <c r="AF29" s="1"/>
      <c r="AG29" s="1"/>
    </row>
    <row r="30" spans="1:33" s="4" customFormat="1" x14ac:dyDescent="0.35">
      <c r="A30" s="26">
        <f t="shared" si="7"/>
        <v>0</v>
      </c>
      <c r="B30" s="29" cm="1">
        <f t="array" ref="B30">_xlfn.IFS(Y30=$Z$2,IF(U30="","",IF(G30/F30=0,U30/Q30,G30/F30)),Y30=$Z$3,0,Y30=$Z$4,1)</f>
        <v>1</v>
      </c>
      <c r="C30" s="55">
        <f t="shared" si="11"/>
        <v>1</v>
      </c>
      <c r="D30" s="49"/>
      <c r="E30" s="48"/>
      <c r="F30" s="24">
        <f t="shared" si="0"/>
        <v>0</v>
      </c>
      <c r="G30" s="56">
        <f t="shared" si="16"/>
        <v>0</v>
      </c>
      <c r="H30" s="56">
        <f t="shared" si="17"/>
        <v>0</v>
      </c>
      <c r="I30" s="56" cm="1">
        <f t="array" ref="I30">_xlfn.IFS(Y30=$Z$4,F30,Y30=$Z$3,0,Y30=#REF!,0,Y30=$Z$2,F30-1)</f>
        <v>0</v>
      </c>
      <c r="J30" s="56" cm="1">
        <f t="array" ref="J30">_xlfn.IFS(Y30=$Z$4,F30,Y30=$Z$3,0,Y30=#REF!,0,Y30=$Z$2,F30-1)</f>
        <v>0</v>
      </c>
      <c r="K30" s="59">
        <v>0</v>
      </c>
      <c r="L30" s="48"/>
      <c r="M30" s="55"/>
      <c r="N30" s="55"/>
      <c r="O30" s="55"/>
      <c r="P30" s="49"/>
      <c r="Q30" s="57">
        <f t="shared" si="15"/>
        <v>0.16666666666666666</v>
      </c>
      <c r="R30" s="49">
        <v>0</v>
      </c>
      <c r="S30" s="57"/>
      <c r="T30" s="58">
        <f t="shared" si="2"/>
        <v>0</v>
      </c>
      <c r="U30" s="58">
        <f t="shared" si="10"/>
        <v>0</v>
      </c>
      <c r="V30" s="49" t="s">
        <v>122</v>
      </c>
      <c r="W30" s="141" t="s">
        <v>65</v>
      </c>
      <c r="X30"/>
      <c r="Y30" s="1" t="s">
        <v>23</v>
      </c>
      <c r="Z30" s="13">
        <f t="shared" si="13"/>
        <v>1</v>
      </c>
      <c r="AA30" s="2">
        <f t="shared" si="14"/>
        <v>0</v>
      </c>
      <c r="AB30" s="2">
        <f t="shared" si="5"/>
        <v>0</v>
      </c>
      <c r="AC30" s="1"/>
      <c r="AD30" s="1"/>
      <c r="AE30" s="1"/>
      <c r="AF30" s="1"/>
      <c r="AG30" s="1"/>
    </row>
    <row r="31" spans="1:33" s="4" customFormat="1" x14ac:dyDescent="0.35">
      <c r="A31" s="26">
        <f t="shared" si="7"/>
        <v>0</v>
      </c>
      <c r="B31" s="29" cm="1">
        <f t="array" ref="B31">_xlfn.IFS(Y31=$Z$2,IF(U31="","",IF(G31/F31=0,U31/Q31,G31/F31)),Y31=$Z$3,0,Y31=$Z$4,1)</f>
        <v>1</v>
      </c>
      <c r="C31" s="55">
        <f t="shared" si="11"/>
        <v>1</v>
      </c>
      <c r="D31" s="49"/>
      <c r="E31" s="48"/>
      <c r="F31" s="24">
        <f t="shared" si="0"/>
        <v>0</v>
      </c>
      <c r="G31" s="56">
        <f t="shared" si="16"/>
        <v>0</v>
      </c>
      <c r="H31" s="56">
        <f t="shared" si="17"/>
        <v>0</v>
      </c>
      <c r="I31" s="56" cm="1">
        <f t="array" ref="I31">_xlfn.IFS(Y31=$Z$4,F31,Y31=$Z$3,0,Y31=#REF!,0,Y31=$Z$2,F31-1)</f>
        <v>0</v>
      </c>
      <c r="J31" s="56" cm="1">
        <f t="array" ref="J31">_xlfn.IFS(Y31=$Z$4,F31,Y31=$Z$3,0,Y31=#REF!,0,Y31=$Z$2,F31-1)</f>
        <v>0</v>
      </c>
      <c r="K31" s="59">
        <v>0</v>
      </c>
      <c r="L31" s="48"/>
      <c r="M31" s="55"/>
      <c r="N31" s="55"/>
      <c r="O31" s="55"/>
      <c r="P31" s="49"/>
      <c r="Q31" s="57">
        <f t="shared" si="15"/>
        <v>0.16666666666666666</v>
      </c>
      <c r="R31" s="49">
        <v>0</v>
      </c>
      <c r="S31" s="57"/>
      <c r="T31" s="58">
        <f t="shared" si="2"/>
        <v>0</v>
      </c>
      <c r="U31" s="58">
        <f t="shared" si="10"/>
        <v>0</v>
      </c>
      <c r="V31" s="49" t="s">
        <v>122</v>
      </c>
      <c r="W31" s="141" t="s">
        <v>65</v>
      </c>
      <c r="X31"/>
      <c r="Y31" s="1" t="s">
        <v>23</v>
      </c>
      <c r="Z31" s="13">
        <f t="shared" si="13"/>
        <v>1</v>
      </c>
      <c r="AA31" s="2">
        <f t="shared" si="14"/>
        <v>0</v>
      </c>
      <c r="AB31" s="2">
        <f t="shared" si="5"/>
        <v>0</v>
      </c>
      <c r="AC31" s="1"/>
      <c r="AD31" s="1"/>
      <c r="AE31" s="1"/>
      <c r="AF31" s="1"/>
      <c r="AG31" s="1"/>
    </row>
    <row r="32" spans="1:33" s="4" customFormat="1" x14ac:dyDescent="0.35">
      <c r="A32" s="26">
        <f t="shared" si="7"/>
        <v>0</v>
      </c>
      <c r="B32" s="29" cm="1">
        <f t="array" ref="B32">_xlfn.IFS(Y32=$Z$2,IF(U32="","",IF(G32/F32=0,U32/Q32,G32/F32)),Y32=$Z$3,0,Y32=$Z$4,1)</f>
        <v>1</v>
      </c>
      <c r="C32" s="55">
        <f t="shared" si="11"/>
        <v>1</v>
      </c>
      <c r="D32" s="49"/>
      <c r="E32" s="48"/>
      <c r="F32" s="24">
        <f t="shared" si="0"/>
        <v>0</v>
      </c>
      <c r="G32" s="56">
        <f t="shared" si="16"/>
        <v>0</v>
      </c>
      <c r="H32" s="56">
        <f t="shared" si="17"/>
        <v>0</v>
      </c>
      <c r="I32" s="56" cm="1">
        <f t="array" ref="I32">_xlfn.IFS(Y32=$Z$4,F32,Y32=$Z$3,0,Y32=#REF!,0,Y32=$Z$2,F32-1)</f>
        <v>0</v>
      </c>
      <c r="J32" s="56" cm="1">
        <f t="array" ref="J32">_xlfn.IFS(Y32=$Z$4,F32,Y32=$Z$3,0,Y32=#REF!,0,Y32=$Z$2,F32-1)</f>
        <v>0</v>
      </c>
      <c r="K32" s="59">
        <v>0</v>
      </c>
      <c r="L32" s="48"/>
      <c r="M32" s="55"/>
      <c r="N32" s="55"/>
      <c r="O32" s="55"/>
      <c r="P32" s="49"/>
      <c r="Q32" s="57">
        <f t="shared" si="15"/>
        <v>0.16666666666666666</v>
      </c>
      <c r="R32" s="49">
        <v>0</v>
      </c>
      <c r="S32" s="57"/>
      <c r="T32" s="58">
        <f t="shared" si="2"/>
        <v>0</v>
      </c>
      <c r="U32" s="58">
        <f t="shared" si="10"/>
        <v>0</v>
      </c>
      <c r="V32" s="49" t="s">
        <v>122</v>
      </c>
      <c r="W32" s="141" t="s">
        <v>65</v>
      </c>
      <c r="X32"/>
      <c r="Y32" s="1" t="s">
        <v>23</v>
      </c>
      <c r="Z32" s="13">
        <f t="shared" si="13"/>
        <v>1</v>
      </c>
      <c r="AA32" s="2">
        <f t="shared" si="14"/>
        <v>0</v>
      </c>
      <c r="AB32" s="2">
        <f t="shared" si="5"/>
        <v>0</v>
      </c>
      <c r="AC32" s="1"/>
      <c r="AD32" s="1"/>
      <c r="AE32" s="1"/>
      <c r="AF32" s="1"/>
      <c r="AG32" s="1"/>
    </row>
    <row r="33" spans="1:33" s="4" customFormat="1" x14ac:dyDescent="0.35">
      <c r="A33" s="26">
        <f t="shared" si="7"/>
        <v>0</v>
      </c>
      <c r="B33" s="29" cm="1">
        <f t="array" ref="B33">_xlfn.IFS(Y33=$Z$2,IF(U33="","",IF(G33/F33=0,U33/Q33,G33/F33)),Y33=$Z$3,0,Y33=$Z$4,1)</f>
        <v>1</v>
      </c>
      <c r="C33" s="55">
        <f t="shared" si="11"/>
        <v>1</v>
      </c>
      <c r="D33" s="49"/>
      <c r="E33" s="48"/>
      <c r="F33" s="24">
        <f t="shared" si="0"/>
        <v>0</v>
      </c>
      <c r="G33" s="56">
        <f t="shared" si="16"/>
        <v>0</v>
      </c>
      <c r="H33" s="56">
        <f t="shared" si="17"/>
        <v>0</v>
      </c>
      <c r="I33" s="56" cm="1">
        <f t="array" ref="I33">_xlfn.IFS(Y33=$Z$4,F33,Y33=$Z$3,0,Y33=#REF!,0,Y33=$Z$2,F33-1)</f>
        <v>0</v>
      </c>
      <c r="J33" s="56" cm="1">
        <f t="array" ref="J33">_xlfn.IFS(Y33=$Z$4,F33,Y33=$Z$3,0,Y33=#REF!,0,Y33=$Z$2,F33-1)</f>
        <v>0</v>
      </c>
      <c r="K33" s="59">
        <v>0</v>
      </c>
      <c r="L33" s="48"/>
      <c r="M33" s="55"/>
      <c r="N33" s="55"/>
      <c r="O33" s="55"/>
      <c r="P33" s="49"/>
      <c r="Q33" s="57">
        <f t="shared" si="15"/>
        <v>0.16666666666666666</v>
      </c>
      <c r="R33" s="49">
        <v>0</v>
      </c>
      <c r="S33" s="57"/>
      <c r="T33" s="58">
        <f t="shared" si="2"/>
        <v>0</v>
      </c>
      <c r="U33" s="58">
        <f t="shared" si="10"/>
        <v>0</v>
      </c>
      <c r="V33" s="49" t="s">
        <v>122</v>
      </c>
      <c r="W33" s="141" t="s">
        <v>65</v>
      </c>
      <c r="X33"/>
      <c r="Y33" s="1" t="s">
        <v>23</v>
      </c>
      <c r="Z33" s="13">
        <f t="shared" si="13"/>
        <v>1</v>
      </c>
      <c r="AA33" s="2">
        <f t="shared" si="14"/>
        <v>0</v>
      </c>
      <c r="AB33" s="2">
        <f t="shared" si="5"/>
        <v>0</v>
      </c>
      <c r="AC33" s="1"/>
      <c r="AD33" s="1"/>
      <c r="AE33" s="1"/>
      <c r="AF33" s="1"/>
      <c r="AG33" s="1"/>
    </row>
    <row r="34" spans="1:33" s="4" customFormat="1" x14ac:dyDescent="0.35">
      <c r="A34" s="26">
        <f t="shared" si="7"/>
        <v>0</v>
      </c>
      <c r="B34" s="29" cm="1">
        <f t="array" ref="B34">_xlfn.IFS(Y34=$Z$2,IF(U34="","",IF(G34/F34=0,U34/Q34,G34/F34)),Y34=$Z$3,0,Y34=$Z$4,1)</f>
        <v>1</v>
      </c>
      <c r="C34" s="55">
        <f t="shared" si="11"/>
        <v>1</v>
      </c>
      <c r="D34" s="49"/>
      <c r="E34" s="48"/>
      <c r="F34" s="24">
        <f t="shared" si="0"/>
        <v>0</v>
      </c>
      <c r="G34" s="56">
        <f t="shared" si="16"/>
        <v>0</v>
      </c>
      <c r="H34" s="56">
        <f t="shared" si="17"/>
        <v>0</v>
      </c>
      <c r="I34" s="56" cm="1">
        <f t="array" ref="I34">_xlfn.IFS(Y34=$Z$4,F34,Y34=$Z$3,0,Y34=#REF!,0,Y34=$Z$2,F34-1)</f>
        <v>0</v>
      </c>
      <c r="J34" s="56" cm="1">
        <f t="array" ref="J34">_xlfn.IFS(Y34=$Z$4,F34,Y34=$Z$3,0,Y34=#REF!,0,Y34=$Z$2,F34-1)</f>
        <v>0</v>
      </c>
      <c r="K34" s="59">
        <v>0</v>
      </c>
      <c r="L34" s="48"/>
      <c r="M34" s="55"/>
      <c r="N34" s="55"/>
      <c r="O34" s="55"/>
      <c r="P34" s="49"/>
      <c r="Q34" s="57">
        <f t="shared" si="15"/>
        <v>0.16666666666666666</v>
      </c>
      <c r="R34" s="49">
        <v>0</v>
      </c>
      <c r="S34" s="57"/>
      <c r="T34" s="58">
        <f t="shared" si="2"/>
        <v>0</v>
      </c>
      <c r="U34" s="58">
        <f t="shared" si="10"/>
        <v>0</v>
      </c>
      <c r="V34" s="49" t="s">
        <v>122</v>
      </c>
      <c r="W34" s="141" t="s">
        <v>65</v>
      </c>
      <c r="X34"/>
      <c r="Y34" s="1" t="s">
        <v>23</v>
      </c>
      <c r="Z34" s="13">
        <f t="shared" si="13"/>
        <v>1</v>
      </c>
      <c r="AA34" s="2">
        <f t="shared" si="14"/>
        <v>0</v>
      </c>
      <c r="AB34" s="2">
        <f t="shared" si="5"/>
        <v>0</v>
      </c>
      <c r="AC34" s="1"/>
      <c r="AD34" s="1"/>
      <c r="AE34" s="1"/>
      <c r="AF34" s="1"/>
      <c r="AG34" s="1"/>
    </row>
    <row r="35" spans="1:33" s="4" customFormat="1" x14ac:dyDescent="0.35">
      <c r="A35" s="26">
        <f t="shared" si="7"/>
        <v>0</v>
      </c>
      <c r="B35" s="29" cm="1">
        <f t="array" ref="B35">_xlfn.IFS(Y35=$Z$2,IF(U35="","",IF(G35/F35=0,U35/Q35,G35/F35)),Y35=$Z$3,0,Y35=$Z$4,1)</f>
        <v>1</v>
      </c>
      <c r="C35" s="55">
        <f t="shared" si="11"/>
        <v>1</v>
      </c>
      <c r="D35" s="49"/>
      <c r="E35" s="48"/>
      <c r="F35" s="24">
        <f t="shared" si="0"/>
        <v>0</v>
      </c>
      <c r="G35" s="56">
        <f t="shared" si="16"/>
        <v>0</v>
      </c>
      <c r="H35" s="56">
        <f t="shared" si="17"/>
        <v>0</v>
      </c>
      <c r="I35" s="56" cm="1">
        <f t="array" ref="I35">_xlfn.IFS(Y35=$Z$4,F35,Y35=$Z$3,0,Y35=#REF!,0,Y35=$Z$2,F35-1)</f>
        <v>0</v>
      </c>
      <c r="J35" s="56" cm="1">
        <f t="array" ref="J35">_xlfn.IFS(Y35=$Z$4,F35,Y35=$Z$3,0,Y35=#REF!,0,Y35=$Z$2,F35-1)</f>
        <v>0</v>
      </c>
      <c r="K35" s="59">
        <v>0</v>
      </c>
      <c r="L35" s="48"/>
      <c r="M35" s="55"/>
      <c r="N35" s="55"/>
      <c r="O35" s="55"/>
      <c r="P35" s="49"/>
      <c r="Q35" s="57">
        <f t="shared" si="15"/>
        <v>0.16666666666666666</v>
      </c>
      <c r="R35" s="49">
        <v>0</v>
      </c>
      <c r="S35" s="57"/>
      <c r="T35" s="58">
        <f t="shared" si="2"/>
        <v>0</v>
      </c>
      <c r="U35" s="58">
        <f t="shared" si="10"/>
        <v>0</v>
      </c>
      <c r="V35" s="49" t="s">
        <v>122</v>
      </c>
      <c r="W35" s="141" t="s">
        <v>65</v>
      </c>
      <c r="X35"/>
      <c r="Y35" s="1" t="s">
        <v>23</v>
      </c>
      <c r="Z35" s="13">
        <f t="shared" si="13"/>
        <v>1</v>
      </c>
      <c r="AA35" s="2">
        <f t="shared" si="14"/>
        <v>0</v>
      </c>
      <c r="AB35" s="2">
        <f t="shared" si="5"/>
        <v>0</v>
      </c>
      <c r="AC35" s="1"/>
      <c r="AD35" s="1"/>
      <c r="AE35" s="1"/>
      <c r="AF35" s="1"/>
      <c r="AG35" s="1"/>
    </row>
    <row r="36" spans="1:33" s="4" customFormat="1" x14ac:dyDescent="0.35">
      <c r="A36" s="26">
        <f t="shared" si="7"/>
        <v>0</v>
      </c>
      <c r="B36" s="29" cm="1">
        <f t="array" ref="B36">_xlfn.IFS(Y36=$Z$2,IF(U36="","",IF(G36/F36=0,U36/Q36,G36/F36)),Y36=$Z$3,0,Y36=$Z$4,1)</f>
        <v>1</v>
      </c>
      <c r="C36" s="55">
        <f t="shared" si="11"/>
        <v>1</v>
      </c>
      <c r="D36" s="49"/>
      <c r="E36" s="48"/>
      <c r="F36" s="24">
        <f t="shared" si="0"/>
        <v>0</v>
      </c>
      <c r="G36" s="56">
        <f t="shared" si="16"/>
        <v>0</v>
      </c>
      <c r="H36" s="56">
        <f t="shared" si="17"/>
        <v>0</v>
      </c>
      <c r="I36" s="56" cm="1">
        <f t="array" ref="I36">_xlfn.IFS(Y36=$Z$4,F36,Y36=$Z$3,0,Y36=#REF!,0,Y36=$Z$2,F36-1)</f>
        <v>0</v>
      </c>
      <c r="J36" s="56" cm="1">
        <f t="array" ref="J36">_xlfn.IFS(Y36=$Z$4,F36,Y36=$Z$3,0,Y36=#REF!,0,Y36=$Z$2,F36-1)</f>
        <v>0</v>
      </c>
      <c r="K36" s="59">
        <v>0</v>
      </c>
      <c r="L36" s="48"/>
      <c r="M36" s="55"/>
      <c r="N36" s="55"/>
      <c r="O36" s="55"/>
      <c r="P36" s="49"/>
      <c r="Q36" s="57">
        <f t="shared" si="15"/>
        <v>0.16666666666666666</v>
      </c>
      <c r="R36" s="49">
        <v>0</v>
      </c>
      <c r="S36" s="57"/>
      <c r="T36" s="58">
        <f t="shared" si="2"/>
        <v>0</v>
      </c>
      <c r="U36" s="58">
        <f t="shared" si="10"/>
        <v>0</v>
      </c>
      <c r="V36" s="49" t="s">
        <v>122</v>
      </c>
      <c r="W36" s="141" t="s">
        <v>65</v>
      </c>
      <c r="X36"/>
      <c r="Y36" s="1" t="s">
        <v>23</v>
      </c>
      <c r="Z36" s="13">
        <f t="shared" si="13"/>
        <v>1</v>
      </c>
      <c r="AA36" s="2">
        <f t="shared" si="14"/>
        <v>0</v>
      </c>
      <c r="AB36" s="2">
        <f t="shared" si="5"/>
        <v>0</v>
      </c>
      <c r="AC36" s="1"/>
      <c r="AD36" s="1"/>
      <c r="AE36" s="1"/>
      <c r="AF36" s="1"/>
      <c r="AG36" s="1"/>
    </row>
    <row r="37" spans="1:33" s="4" customFormat="1" x14ac:dyDescent="0.35">
      <c r="A37" s="26">
        <f t="shared" si="7"/>
        <v>0</v>
      </c>
      <c r="B37" s="29" cm="1">
        <f t="array" ref="B37">_xlfn.IFS(Y37=$Z$2,IF(U37="","",IF(G37/F37=0,U37/Q37,G37/F37)),Y37=$Z$3,0,Y37=$Z$4,1)</f>
        <v>1</v>
      </c>
      <c r="C37" s="55">
        <f t="shared" si="11"/>
        <v>1</v>
      </c>
      <c r="D37" s="49"/>
      <c r="E37" s="48"/>
      <c r="F37" s="24">
        <f t="shared" si="0"/>
        <v>0</v>
      </c>
      <c r="G37" s="56">
        <f t="shared" si="16"/>
        <v>0</v>
      </c>
      <c r="H37" s="56">
        <f t="shared" si="17"/>
        <v>0</v>
      </c>
      <c r="I37" s="56" cm="1">
        <f t="array" ref="I37">_xlfn.IFS(Y37=$Z$4,F37,Y37=$Z$3,0,Y37=#REF!,0,Y37=$Z$2,F37-1)</f>
        <v>0</v>
      </c>
      <c r="J37" s="56" cm="1">
        <f t="array" ref="J37">_xlfn.IFS(Y37=$Z$4,F37,Y37=$Z$3,0,Y37=#REF!,0,Y37=$Z$2,F37-1)</f>
        <v>0</v>
      </c>
      <c r="K37" s="59">
        <v>0</v>
      </c>
      <c r="L37" s="48"/>
      <c r="M37" s="55"/>
      <c r="N37" s="55"/>
      <c r="O37" s="55"/>
      <c r="P37" s="49"/>
      <c r="Q37" s="57">
        <f t="shared" si="15"/>
        <v>0.16666666666666666</v>
      </c>
      <c r="R37" s="49">
        <v>0</v>
      </c>
      <c r="S37" s="57"/>
      <c r="T37" s="58">
        <f t="shared" si="2"/>
        <v>0</v>
      </c>
      <c r="U37" s="58">
        <f t="shared" si="10"/>
        <v>0</v>
      </c>
      <c r="V37" s="49" t="s">
        <v>122</v>
      </c>
      <c r="W37" s="141" t="s">
        <v>65</v>
      </c>
      <c r="X37"/>
      <c r="Y37" s="1" t="s">
        <v>23</v>
      </c>
      <c r="Z37" s="13">
        <f t="shared" si="13"/>
        <v>1</v>
      </c>
      <c r="AA37" s="2">
        <f t="shared" si="14"/>
        <v>0</v>
      </c>
      <c r="AB37" s="2">
        <f t="shared" si="5"/>
        <v>0</v>
      </c>
      <c r="AC37" s="1"/>
      <c r="AD37" s="1"/>
      <c r="AE37" s="1"/>
      <c r="AF37" s="1"/>
      <c r="AG37" s="1"/>
    </row>
    <row r="38" spans="1:33" s="4" customFormat="1" x14ac:dyDescent="0.35">
      <c r="A38" s="26">
        <f t="shared" si="7"/>
        <v>0</v>
      </c>
      <c r="B38" s="29" cm="1">
        <f t="array" ref="B38">_xlfn.IFS(Y38=$Z$2,IF(U38="","",IF(G38/F38=0,U38/Q38,G38/F38)),Y38=$Z$3,0,Y38=$Z$4,1)</f>
        <v>1</v>
      </c>
      <c r="C38" s="55">
        <f t="shared" si="11"/>
        <v>1</v>
      </c>
      <c r="D38" s="49"/>
      <c r="E38" s="48"/>
      <c r="F38" s="24">
        <f t="shared" si="0"/>
        <v>0</v>
      </c>
      <c r="G38" s="56">
        <f t="shared" si="16"/>
        <v>0</v>
      </c>
      <c r="H38" s="56">
        <f t="shared" si="17"/>
        <v>0</v>
      </c>
      <c r="I38" s="56" cm="1">
        <f t="array" ref="I38">_xlfn.IFS(Y38=$Z$4,F38,Y38=$Z$3,0,Y38=#REF!,0,Y38=$Z$2,F38-1)</f>
        <v>0</v>
      </c>
      <c r="J38" s="56" cm="1">
        <f t="array" ref="J38">_xlfn.IFS(Y38=$Z$4,F38,Y38=$Z$3,0,Y38=#REF!,0,Y38=$Z$2,F38-1)</f>
        <v>0</v>
      </c>
      <c r="K38" s="59">
        <v>0</v>
      </c>
      <c r="L38" s="48"/>
      <c r="M38" s="55"/>
      <c r="N38" s="55"/>
      <c r="O38" s="55"/>
      <c r="P38" s="49"/>
      <c r="Q38" s="57">
        <f t="shared" si="15"/>
        <v>0.16666666666666666</v>
      </c>
      <c r="R38" s="49">
        <v>0</v>
      </c>
      <c r="S38" s="57"/>
      <c r="T38" s="58">
        <f t="shared" si="2"/>
        <v>0</v>
      </c>
      <c r="U38" s="58">
        <f t="shared" si="10"/>
        <v>0</v>
      </c>
      <c r="V38" s="49" t="s">
        <v>122</v>
      </c>
      <c r="W38" s="141" t="s">
        <v>65</v>
      </c>
      <c r="X38"/>
      <c r="Y38" s="1" t="s">
        <v>23</v>
      </c>
      <c r="Z38" s="13">
        <f t="shared" si="13"/>
        <v>1</v>
      </c>
      <c r="AA38" s="2">
        <f t="shared" si="14"/>
        <v>0</v>
      </c>
      <c r="AB38" s="2">
        <f t="shared" si="5"/>
        <v>0</v>
      </c>
      <c r="AC38" s="1"/>
      <c r="AD38" s="1"/>
      <c r="AE38" s="1"/>
      <c r="AF38" s="1"/>
      <c r="AG38" s="1"/>
    </row>
    <row r="39" spans="1:33" s="4" customFormat="1" x14ac:dyDescent="0.35">
      <c r="A39" s="26">
        <f t="shared" si="7"/>
        <v>0</v>
      </c>
      <c r="B39" s="29" cm="1">
        <f t="array" ref="B39">_xlfn.IFS(Y39=$Z$2,IF(U39="","",IF(G39/F39=0,U39/Q39,G39/F39)),Y39=$Z$3,0,Y39=$Z$4,1)</f>
        <v>1</v>
      </c>
      <c r="C39" s="55">
        <f t="shared" si="11"/>
        <v>1</v>
      </c>
      <c r="D39" s="49"/>
      <c r="E39" s="48"/>
      <c r="F39" s="24">
        <f t="shared" si="0"/>
        <v>0</v>
      </c>
      <c r="G39" s="56">
        <f t="shared" si="16"/>
        <v>0</v>
      </c>
      <c r="H39" s="56">
        <f t="shared" si="17"/>
        <v>0</v>
      </c>
      <c r="I39" s="56" cm="1">
        <f t="array" ref="I39">_xlfn.IFS(Y39=$Z$4,F39,Y39=$Z$3,0,Y39=#REF!,0,Y39=$Z$2,F39-1)</f>
        <v>0</v>
      </c>
      <c r="J39" s="56" cm="1">
        <f t="array" ref="J39">_xlfn.IFS(Y39=$Z$4,F39,Y39=$Z$3,0,Y39=#REF!,0,Y39=$Z$2,F39-1)</f>
        <v>0</v>
      </c>
      <c r="K39" s="59">
        <v>0</v>
      </c>
      <c r="L39" s="48"/>
      <c r="M39" s="55"/>
      <c r="N39" s="55"/>
      <c r="O39" s="55"/>
      <c r="P39" s="49"/>
      <c r="Q39" s="57">
        <f t="shared" si="15"/>
        <v>0.16666666666666666</v>
      </c>
      <c r="R39" s="49">
        <v>0</v>
      </c>
      <c r="S39" s="57"/>
      <c r="T39" s="58">
        <f t="shared" si="2"/>
        <v>0</v>
      </c>
      <c r="U39" s="58">
        <f t="shared" si="10"/>
        <v>0</v>
      </c>
      <c r="V39" s="49" t="s">
        <v>122</v>
      </c>
      <c r="W39" s="141" t="s">
        <v>65</v>
      </c>
      <c r="X39"/>
      <c r="Y39" s="1" t="s">
        <v>23</v>
      </c>
      <c r="Z39" s="13">
        <f t="shared" si="13"/>
        <v>1</v>
      </c>
      <c r="AA39" s="2">
        <f t="shared" si="14"/>
        <v>0</v>
      </c>
      <c r="AB39" s="2">
        <f t="shared" si="5"/>
        <v>0</v>
      </c>
      <c r="AC39" s="1"/>
      <c r="AD39" s="1"/>
      <c r="AE39" s="1"/>
      <c r="AF39" s="1"/>
      <c r="AG39" s="1"/>
    </row>
    <row r="40" spans="1:33" s="4" customFormat="1" x14ac:dyDescent="0.35">
      <c r="A40" s="26">
        <f t="shared" si="7"/>
        <v>0</v>
      </c>
      <c r="B40" s="29" cm="1">
        <f t="array" ref="B40">_xlfn.IFS(Y40=$Z$2,IF(U40="","",IF(G40/F40=0,U40/Q40,G40/F40)),Y40=$Z$3,0,Y40=$Z$4,1)</f>
        <v>1</v>
      </c>
      <c r="C40" s="55">
        <f t="shared" si="11"/>
        <v>1</v>
      </c>
      <c r="D40" s="49"/>
      <c r="E40" s="48"/>
      <c r="F40" s="24">
        <f t="shared" si="0"/>
        <v>0</v>
      </c>
      <c r="G40" s="56">
        <f t="shared" si="16"/>
        <v>0</v>
      </c>
      <c r="H40" s="56">
        <f t="shared" si="17"/>
        <v>0</v>
      </c>
      <c r="I40" s="56" cm="1">
        <f t="array" ref="I40">_xlfn.IFS(Y40=$Z$4,F40,Y40=$Z$3,0,Y40=#REF!,0,Y40=$Z$2,F40-1)</f>
        <v>0</v>
      </c>
      <c r="J40" s="56" cm="1">
        <f t="array" ref="J40">_xlfn.IFS(Y40=$Z$4,F40,Y40=$Z$3,0,Y40=#REF!,0,Y40=$Z$2,F40-1)</f>
        <v>0</v>
      </c>
      <c r="K40" s="59">
        <v>0</v>
      </c>
      <c r="L40" s="48"/>
      <c r="M40" s="55"/>
      <c r="N40" s="55"/>
      <c r="O40" s="55"/>
      <c r="P40" s="49"/>
      <c r="Q40" s="57">
        <f t="shared" si="15"/>
        <v>0.16666666666666666</v>
      </c>
      <c r="R40" s="49">
        <v>0</v>
      </c>
      <c r="S40" s="57"/>
      <c r="T40" s="58">
        <f t="shared" si="2"/>
        <v>0</v>
      </c>
      <c r="U40" s="58">
        <f t="shared" si="10"/>
        <v>0</v>
      </c>
      <c r="V40" s="49" t="s">
        <v>122</v>
      </c>
      <c r="W40" s="141" t="s">
        <v>65</v>
      </c>
      <c r="X40"/>
      <c r="Y40" s="1" t="s">
        <v>23</v>
      </c>
      <c r="Z40" s="13">
        <f t="shared" si="13"/>
        <v>1</v>
      </c>
      <c r="AA40" s="2">
        <f t="shared" si="14"/>
        <v>0</v>
      </c>
      <c r="AB40" s="2">
        <f t="shared" si="5"/>
        <v>0</v>
      </c>
      <c r="AC40" s="1"/>
      <c r="AD40" s="1"/>
      <c r="AE40" s="1"/>
      <c r="AF40" s="1"/>
      <c r="AG40" s="1"/>
    </row>
    <row r="41" spans="1:33" s="4" customFormat="1" x14ac:dyDescent="0.35">
      <c r="A41" s="26">
        <f t="shared" si="7"/>
        <v>0</v>
      </c>
      <c r="B41" s="29" cm="1">
        <f t="array" ref="B41">_xlfn.IFS(Y41=$Z$2,IF(U41="","",IF(G41/F41=0,U41/Q41,G41/F41)),Y41=$Z$3,0,Y41=$Z$4,1)</f>
        <v>1</v>
      </c>
      <c r="C41" s="55">
        <f t="shared" si="11"/>
        <v>1</v>
      </c>
      <c r="D41" s="49"/>
      <c r="E41" s="48"/>
      <c r="F41" s="24">
        <f t="shared" si="0"/>
        <v>0</v>
      </c>
      <c r="G41" s="56">
        <f t="shared" si="16"/>
        <v>0</v>
      </c>
      <c r="H41" s="56">
        <f t="shared" si="17"/>
        <v>0</v>
      </c>
      <c r="I41" s="56" cm="1">
        <f t="array" ref="I41">_xlfn.IFS(Y41=$Z$4,F41,Y41=$Z$3,0,Y41=#REF!,0,Y41=$Z$2,F41-1)</f>
        <v>0</v>
      </c>
      <c r="J41" s="56" cm="1">
        <f t="array" ref="J41">_xlfn.IFS(Y41=$Z$4,F41,Y41=$Z$3,0,Y41=#REF!,0,Y41=$Z$2,F41-1)</f>
        <v>0</v>
      </c>
      <c r="K41" s="59">
        <v>0</v>
      </c>
      <c r="L41" s="48"/>
      <c r="M41" s="55"/>
      <c r="N41" s="55"/>
      <c r="O41" s="55"/>
      <c r="P41" s="49"/>
      <c r="Q41" s="57">
        <f t="shared" si="15"/>
        <v>0.16666666666666666</v>
      </c>
      <c r="R41" s="49">
        <v>0</v>
      </c>
      <c r="S41" s="57"/>
      <c r="T41" s="58">
        <f t="shared" si="2"/>
        <v>0</v>
      </c>
      <c r="U41" s="58">
        <f t="shared" si="10"/>
        <v>0</v>
      </c>
      <c r="V41" s="49" t="s">
        <v>122</v>
      </c>
      <c r="W41" s="141" t="s">
        <v>65</v>
      </c>
      <c r="X41"/>
      <c r="Y41" s="1" t="s">
        <v>23</v>
      </c>
      <c r="Z41" s="13">
        <f t="shared" si="13"/>
        <v>1</v>
      </c>
      <c r="AA41" s="2">
        <f t="shared" si="14"/>
        <v>0</v>
      </c>
      <c r="AB41" s="2">
        <f t="shared" si="5"/>
        <v>0</v>
      </c>
      <c r="AC41" s="1"/>
      <c r="AD41" s="1"/>
      <c r="AE41" s="1"/>
      <c r="AF41" s="1"/>
      <c r="AG41" s="1"/>
    </row>
    <row r="42" spans="1:33" s="4" customFormat="1" x14ac:dyDescent="0.35">
      <c r="A42" s="26">
        <f t="shared" si="7"/>
        <v>0</v>
      </c>
      <c r="B42" s="29" cm="1">
        <f t="array" ref="B42">_xlfn.IFS(Y42=$Z$2,IF(U42="","",IF(G42/F42=0,U42/Q42,G42/F42)),Y42=$Z$3,0,Y42=$Z$4,1)</f>
        <v>1</v>
      </c>
      <c r="C42" s="55">
        <f t="shared" si="11"/>
        <v>1</v>
      </c>
      <c r="D42" s="49"/>
      <c r="E42" s="48"/>
      <c r="F42" s="24">
        <f t="shared" si="0"/>
        <v>0</v>
      </c>
      <c r="G42" s="56">
        <f t="shared" si="16"/>
        <v>0</v>
      </c>
      <c r="H42" s="56">
        <f t="shared" si="17"/>
        <v>0</v>
      </c>
      <c r="I42" s="56" cm="1">
        <f t="array" ref="I42">_xlfn.IFS(Y42=$Z$4,F42,Y42=$Z$3,0,Y42=#REF!,0,Y42=$Z$2,F42-1)</f>
        <v>0</v>
      </c>
      <c r="J42" s="56" cm="1">
        <f t="array" ref="J42">_xlfn.IFS(Y42=$Z$4,F42,Y42=$Z$3,0,Y42=#REF!,0,Y42=$Z$2,F42-1)</f>
        <v>0</v>
      </c>
      <c r="K42" s="59">
        <v>0</v>
      </c>
      <c r="L42" s="48"/>
      <c r="M42" s="55"/>
      <c r="N42" s="55"/>
      <c r="O42" s="55"/>
      <c r="P42" s="49"/>
      <c r="Q42" s="57">
        <f t="shared" si="15"/>
        <v>0.16666666666666666</v>
      </c>
      <c r="R42" s="49">
        <v>0</v>
      </c>
      <c r="S42" s="57"/>
      <c r="T42" s="58">
        <f t="shared" si="2"/>
        <v>0</v>
      </c>
      <c r="U42" s="58">
        <f t="shared" si="10"/>
        <v>0</v>
      </c>
      <c r="V42" s="49" t="s">
        <v>122</v>
      </c>
      <c r="W42" s="141" t="s">
        <v>65</v>
      </c>
      <c r="X42"/>
      <c r="Y42" s="1" t="s">
        <v>23</v>
      </c>
      <c r="Z42" s="13">
        <f t="shared" si="13"/>
        <v>1</v>
      </c>
      <c r="AA42" s="2">
        <f t="shared" si="14"/>
        <v>0</v>
      </c>
      <c r="AB42" s="2">
        <f t="shared" si="5"/>
        <v>0</v>
      </c>
      <c r="AC42" s="1"/>
      <c r="AD42" s="1"/>
      <c r="AE42" s="1"/>
      <c r="AF42" s="1"/>
      <c r="AG42" s="1"/>
    </row>
    <row r="43" spans="1:33" s="4" customFormat="1" x14ac:dyDescent="0.35">
      <c r="A43" s="26">
        <f t="shared" si="7"/>
        <v>0</v>
      </c>
      <c r="B43" s="29" cm="1">
        <f t="array" ref="B43">_xlfn.IFS(Y43=$Z$2,IF(U43="","",IF(G43/F43=0,U43/Q43,G43/F43)),Y43=$Z$3,0,Y43=$Z$4,1)</f>
        <v>1</v>
      </c>
      <c r="C43" s="55">
        <f t="shared" si="11"/>
        <v>1</v>
      </c>
      <c r="D43" s="49"/>
      <c r="E43" s="48"/>
      <c r="F43" s="24">
        <f t="shared" si="0"/>
        <v>0</v>
      </c>
      <c r="G43" s="56">
        <f t="shared" si="16"/>
        <v>0</v>
      </c>
      <c r="H43" s="56">
        <f t="shared" si="17"/>
        <v>0</v>
      </c>
      <c r="I43" s="56" cm="1">
        <f t="array" ref="I43">_xlfn.IFS(Y43=$Z$4,F43,Y43=$Z$3,0,Y43=#REF!,0,Y43=$Z$2,F43-1)</f>
        <v>0</v>
      </c>
      <c r="J43" s="56" cm="1">
        <f t="array" ref="J43">_xlfn.IFS(Y43=$Z$4,F43,Y43=$Z$3,0,Y43=#REF!,0,Y43=$Z$2,F43-1)</f>
        <v>0</v>
      </c>
      <c r="K43" s="59">
        <v>0</v>
      </c>
      <c r="L43" s="48"/>
      <c r="M43" s="55"/>
      <c r="N43" s="55"/>
      <c r="O43" s="55"/>
      <c r="P43" s="49"/>
      <c r="Q43" s="57">
        <f t="shared" si="15"/>
        <v>0.16666666666666666</v>
      </c>
      <c r="R43" s="49">
        <v>0</v>
      </c>
      <c r="S43" s="57"/>
      <c r="T43" s="58">
        <f t="shared" si="2"/>
        <v>0</v>
      </c>
      <c r="U43" s="58">
        <f t="shared" si="10"/>
        <v>0</v>
      </c>
      <c r="V43" s="49" t="s">
        <v>122</v>
      </c>
      <c r="W43" s="141" t="s">
        <v>65</v>
      </c>
      <c r="X43"/>
      <c r="Y43" s="1" t="s">
        <v>23</v>
      </c>
      <c r="Z43" s="13">
        <f t="shared" si="13"/>
        <v>1</v>
      </c>
      <c r="AA43" s="2">
        <f t="shared" si="14"/>
        <v>0</v>
      </c>
      <c r="AB43" s="2">
        <f t="shared" si="5"/>
        <v>0</v>
      </c>
      <c r="AC43" s="1"/>
      <c r="AD43" s="1"/>
      <c r="AE43" s="1"/>
      <c r="AF43" s="1"/>
      <c r="AG43" s="1"/>
    </row>
    <row r="44" spans="1:33" s="4" customFormat="1" x14ac:dyDescent="0.35">
      <c r="A44" s="26">
        <f t="shared" si="7"/>
        <v>0</v>
      </c>
      <c r="B44" s="29" cm="1">
        <f t="array" ref="B44">_xlfn.IFS(Y44=$Z$2,IF(U44="","",IF(G44/F44=0,U44/Q44,G44/F44)),Y44=$Z$3,0,Y44=$Z$4,1)</f>
        <v>1</v>
      </c>
      <c r="C44" s="55">
        <f t="shared" si="11"/>
        <v>1</v>
      </c>
      <c r="D44" s="49"/>
      <c r="E44" s="48"/>
      <c r="F44" s="24">
        <f t="shared" si="0"/>
        <v>0</v>
      </c>
      <c r="G44" s="56">
        <f t="shared" si="16"/>
        <v>0</v>
      </c>
      <c r="H44" s="56">
        <f t="shared" si="17"/>
        <v>0</v>
      </c>
      <c r="I44" s="56" cm="1">
        <f t="array" ref="I44">_xlfn.IFS(Y44=$Z$4,F44,Y44=$Z$3,0,Y44=#REF!,0,Y44=$Z$2,F44-1)</f>
        <v>0</v>
      </c>
      <c r="J44" s="56" cm="1">
        <f t="array" ref="J44">_xlfn.IFS(Y44=$Z$4,F44,Y44=$Z$3,0,Y44=#REF!,0,Y44=$Z$2,F44-1)</f>
        <v>0</v>
      </c>
      <c r="K44" s="59">
        <v>0</v>
      </c>
      <c r="L44" s="48"/>
      <c r="M44" s="55"/>
      <c r="N44" s="55"/>
      <c r="O44" s="55"/>
      <c r="P44" s="49"/>
      <c r="Q44" s="57">
        <f t="shared" si="15"/>
        <v>0.16666666666666666</v>
      </c>
      <c r="R44" s="49">
        <v>0</v>
      </c>
      <c r="S44" s="57"/>
      <c r="T44" s="58">
        <f t="shared" si="2"/>
        <v>0</v>
      </c>
      <c r="U44" s="58">
        <f t="shared" si="10"/>
        <v>0</v>
      </c>
      <c r="V44" s="49" t="s">
        <v>122</v>
      </c>
      <c r="W44" s="141" t="s">
        <v>65</v>
      </c>
      <c r="X44"/>
      <c r="Y44" s="1" t="s">
        <v>23</v>
      </c>
      <c r="Z44" s="13">
        <f t="shared" si="13"/>
        <v>1</v>
      </c>
      <c r="AA44" s="2">
        <f t="shared" si="14"/>
        <v>0</v>
      </c>
      <c r="AB44" s="2">
        <f t="shared" si="5"/>
        <v>0</v>
      </c>
      <c r="AC44" s="1"/>
      <c r="AD44" s="1"/>
      <c r="AE44" s="1"/>
      <c r="AF44" s="1"/>
      <c r="AG44" s="1"/>
    </row>
    <row r="45" spans="1:33" s="4" customFormat="1" x14ac:dyDescent="0.35">
      <c r="A45" s="26">
        <f t="shared" si="7"/>
        <v>0</v>
      </c>
      <c r="B45" s="29" cm="1">
        <f t="array" ref="B45">_xlfn.IFS(Y45=$Z$2,IF(U45="","",IF(G45/F45=0,U45/Q45,G45/F45)),Y45=$Z$3,0,Y45=$Z$4,1)</f>
        <v>1</v>
      </c>
      <c r="C45" s="55">
        <f t="shared" si="11"/>
        <v>1</v>
      </c>
      <c r="D45" s="49"/>
      <c r="E45" s="48"/>
      <c r="F45" s="24">
        <f t="shared" si="0"/>
        <v>0</v>
      </c>
      <c r="G45" s="56">
        <f t="shared" si="16"/>
        <v>0</v>
      </c>
      <c r="H45" s="56">
        <f t="shared" si="17"/>
        <v>0</v>
      </c>
      <c r="I45" s="56" cm="1">
        <f t="array" ref="I45">_xlfn.IFS(Y45=$Z$4,F45,Y45=$Z$3,0,Y45=#REF!,0,Y45=$Z$2,F45-1)</f>
        <v>0</v>
      </c>
      <c r="J45" s="56" cm="1">
        <f t="array" ref="J45">_xlfn.IFS(Y45=$Z$4,F45,Y45=$Z$3,0,Y45=#REF!,0,Y45=$Z$2,F45-1)</f>
        <v>0</v>
      </c>
      <c r="K45" s="59">
        <v>0</v>
      </c>
      <c r="L45" s="48"/>
      <c r="M45" s="55"/>
      <c r="N45" s="55"/>
      <c r="O45" s="55"/>
      <c r="P45" s="49"/>
      <c r="Q45" s="57">
        <f t="shared" si="15"/>
        <v>0.16666666666666666</v>
      </c>
      <c r="R45" s="49">
        <v>0</v>
      </c>
      <c r="S45" s="57"/>
      <c r="T45" s="58">
        <f t="shared" si="2"/>
        <v>0</v>
      </c>
      <c r="U45" s="58">
        <f t="shared" si="10"/>
        <v>0</v>
      </c>
      <c r="V45" s="49" t="s">
        <v>122</v>
      </c>
      <c r="W45" s="141" t="s">
        <v>65</v>
      </c>
      <c r="X45"/>
      <c r="Y45" s="1" t="s">
        <v>23</v>
      </c>
      <c r="Z45" s="13">
        <f t="shared" si="13"/>
        <v>1</v>
      </c>
      <c r="AA45" s="2">
        <f t="shared" si="14"/>
        <v>0</v>
      </c>
      <c r="AB45" s="2">
        <f t="shared" si="5"/>
        <v>0</v>
      </c>
      <c r="AC45" s="1"/>
      <c r="AD45" s="1"/>
      <c r="AE45" s="1"/>
      <c r="AF45" s="1"/>
      <c r="AG45" s="1"/>
    </row>
    <row r="46" spans="1:33" s="4" customFormat="1" x14ac:dyDescent="0.35">
      <c r="A46" s="26">
        <f t="shared" si="7"/>
        <v>0</v>
      </c>
      <c r="B46" s="29" cm="1">
        <f t="array" ref="B46">_xlfn.IFS(Y46=$Z$2,IF(U46="","",IF(G46/F46=0,U46/Q46,G46/F46)),Y46=$Z$3,0,Y46=$Z$4,1)</f>
        <v>1</v>
      </c>
      <c r="C46" s="55">
        <f t="shared" si="11"/>
        <v>1</v>
      </c>
      <c r="D46" s="49"/>
      <c r="E46" s="48"/>
      <c r="F46" s="24">
        <f t="shared" si="0"/>
        <v>0</v>
      </c>
      <c r="G46" s="56">
        <f t="shared" si="16"/>
        <v>0</v>
      </c>
      <c r="H46" s="56">
        <f t="shared" si="17"/>
        <v>0</v>
      </c>
      <c r="I46" s="56" cm="1">
        <f t="array" ref="I46">_xlfn.IFS(Y46=$Z$4,F46,Y46=$Z$3,0,Y46=#REF!,0,Y46=$Z$2,F46-1)</f>
        <v>0</v>
      </c>
      <c r="J46" s="56" cm="1">
        <f t="array" ref="J46">_xlfn.IFS(Y46=$Z$4,F46,Y46=$Z$3,0,Y46=#REF!,0,Y46=$Z$2,F46-1)</f>
        <v>0</v>
      </c>
      <c r="K46" s="59">
        <v>0</v>
      </c>
      <c r="L46" s="48"/>
      <c r="M46" s="55"/>
      <c r="N46" s="55"/>
      <c r="O46" s="55"/>
      <c r="P46" s="49"/>
      <c r="Q46" s="57">
        <f t="shared" si="15"/>
        <v>0.16666666666666666</v>
      </c>
      <c r="R46" s="49">
        <v>0</v>
      </c>
      <c r="S46" s="57"/>
      <c r="T46" s="58">
        <f t="shared" si="2"/>
        <v>0</v>
      </c>
      <c r="U46" s="58">
        <f t="shared" si="10"/>
        <v>0</v>
      </c>
      <c r="V46" s="49" t="s">
        <v>122</v>
      </c>
      <c r="W46" s="141" t="s">
        <v>65</v>
      </c>
      <c r="X46"/>
      <c r="Y46" s="1" t="s">
        <v>23</v>
      </c>
      <c r="Z46" s="13">
        <f t="shared" si="13"/>
        <v>1</v>
      </c>
      <c r="AA46" s="2">
        <f t="shared" si="14"/>
        <v>0</v>
      </c>
      <c r="AB46" s="2">
        <f t="shared" si="5"/>
        <v>0</v>
      </c>
      <c r="AC46" s="1"/>
      <c r="AD46" s="1"/>
      <c r="AE46" s="1"/>
      <c r="AF46" s="1"/>
      <c r="AG46" s="1"/>
    </row>
    <row r="47" spans="1:33" s="4" customFormat="1" x14ac:dyDescent="0.35">
      <c r="A47" s="26">
        <f t="shared" si="7"/>
        <v>0</v>
      </c>
      <c r="B47" s="29" cm="1">
        <f t="array" ref="B47">_xlfn.IFS(Y47=$Z$2,IF(U47="","",IF(G47/F47=0,U47/Q47,G47/F47)),Y47=$Z$3,0,Y47=$Z$4,1)</f>
        <v>1</v>
      </c>
      <c r="C47" s="55">
        <f t="shared" si="11"/>
        <v>1</v>
      </c>
      <c r="D47" s="49"/>
      <c r="E47" s="48"/>
      <c r="F47" s="24">
        <f t="shared" si="0"/>
        <v>0</v>
      </c>
      <c r="G47" s="56">
        <f t="shared" si="16"/>
        <v>0</v>
      </c>
      <c r="H47" s="56">
        <f t="shared" si="17"/>
        <v>0</v>
      </c>
      <c r="I47" s="56" cm="1">
        <f t="array" ref="I47">_xlfn.IFS(Y47=$Z$4,F47,Y47=$Z$3,0,Y47=#REF!,0,Y47=$Z$2,F47-1)</f>
        <v>0</v>
      </c>
      <c r="J47" s="56" cm="1">
        <f t="array" ref="J47">_xlfn.IFS(Y47=$Z$4,F47,Y47=$Z$3,0,Y47=#REF!,0,Y47=$Z$2,F47-1)</f>
        <v>0</v>
      </c>
      <c r="K47" s="59">
        <v>0</v>
      </c>
      <c r="L47" s="48"/>
      <c r="M47" s="55"/>
      <c r="N47" s="55"/>
      <c r="O47" s="55"/>
      <c r="P47" s="49"/>
      <c r="Q47" s="57">
        <f t="shared" si="15"/>
        <v>0.16666666666666666</v>
      </c>
      <c r="R47" s="49">
        <v>0</v>
      </c>
      <c r="S47" s="57"/>
      <c r="T47" s="58">
        <f t="shared" si="2"/>
        <v>0</v>
      </c>
      <c r="U47" s="58">
        <f t="shared" si="10"/>
        <v>0</v>
      </c>
      <c r="V47" s="49" t="s">
        <v>122</v>
      </c>
      <c r="W47" s="141" t="s">
        <v>65</v>
      </c>
      <c r="X47"/>
      <c r="Y47" s="1" t="s">
        <v>23</v>
      </c>
      <c r="Z47" s="13">
        <f t="shared" si="13"/>
        <v>1</v>
      </c>
      <c r="AA47" s="2">
        <f t="shared" si="14"/>
        <v>0</v>
      </c>
      <c r="AB47" s="2">
        <f t="shared" si="5"/>
        <v>0</v>
      </c>
      <c r="AC47" s="1"/>
      <c r="AD47" s="1"/>
      <c r="AE47" s="1"/>
      <c r="AF47" s="1"/>
      <c r="AG47" s="1"/>
    </row>
    <row r="48" spans="1:33" s="4" customFormat="1" x14ac:dyDescent="0.35">
      <c r="A48" s="26">
        <f t="shared" si="7"/>
        <v>0</v>
      </c>
      <c r="B48" s="29" cm="1">
        <f t="array" ref="B48">_xlfn.IFS(Y48=$Z$2,IF(U48="","",IF(G48/F48=0,U48/Q48,G48/F48)),Y48=$Z$3,0,Y48=$Z$4,1)</f>
        <v>1</v>
      </c>
      <c r="C48" s="55">
        <f t="shared" si="11"/>
        <v>1</v>
      </c>
      <c r="D48" s="49"/>
      <c r="E48" s="48"/>
      <c r="F48" s="24">
        <f t="shared" si="0"/>
        <v>0</v>
      </c>
      <c r="G48" s="56">
        <f t="shared" si="16"/>
        <v>0</v>
      </c>
      <c r="H48" s="56">
        <f t="shared" si="17"/>
        <v>0</v>
      </c>
      <c r="I48" s="56" cm="1">
        <f t="array" ref="I48">_xlfn.IFS(Y48=$Z$4,F48,Y48=$Z$3,0,Y48=#REF!,0,Y48=$Z$2,F48-1)</f>
        <v>0</v>
      </c>
      <c r="J48" s="56" cm="1">
        <f t="array" ref="J48">_xlfn.IFS(Y48=$Z$4,F48,Y48=$Z$3,0,Y48=#REF!,0,Y48=$Z$2,F48-1)</f>
        <v>0</v>
      </c>
      <c r="K48" s="59">
        <v>0</v>
      </c>
      <c r="L48" s="48"/>
      <c r="M48" s="55"/>
      <c r="N48" s="55"/>
      <c r="O48" s="55"/>
      <c r="P48" s="49"/>
      <c r="Q48" s="57">
        <f t="shared" si="15"/>
        <v>0.16666666666666666</v>
      </c>
      <c r="R48" s="49">
        <v>0</v>
      </c>
      <c r="S48" s="57"/>
      <c r="T48" s="58">
        <f t="shared" si="2"/>
        <v>0</v>
      </c>
      <c r="U48" s="58">
        <f t="shared" si="10"/>
        <v>0</v>
      </c>
      <c r="V48" s="49" t="s">
        <v>122</v>
      </c>
      <c r="W48" s="141" t="s">
        <v>65</v>
      </c>
      <c r="X48"/>
      <c r="Y48" s="1" t="s">
        <v>23</v>
      </c>
      <c r="Z48" s="13">
        <f t="shared" si="13"/>
        <v>1</v>
      </c>
      <c r="AA48" s="2">
        <f t="shared" si="14"/>
        <v>0</v>
      </c>
      <c r="AB48" s="2">
        <f t="shared" si="5"/>
        <v>0</v>
      </c>
      <c r="AC48" s="1"/>
      <c r="AD48" s="1"/>
      <c r="AE48" s="1"/>
      <c r="AF48" s="1"/>
      <c r="AG48" s="1"/>
    </row>
    <row r="49" spans="1:33" s="4" customFormat="1" x14ac:dyDescent="0.35">
      <c r="A49" s="26">
        <f t="shared" si="7"/>
        <v>0</v>
      </c>
      <c r="B49" s="29" cm="1">
        <f t="array" ref="B49">_xlfn.IFS(Y49=$Z$2,IF(U49="","",IF(G49/F49=0,U49/Q49,G49/F49)),Y49=$Z$3,0,Y49=$Z$4,1)</f>
        <v>1</v>
      </c>
      <c r="C49" s="55">
        <f t="shared" si="11"/>
        <v>1</v>
      </c>
      <c r="D49" s="49"/>
      <c r="E49" s="48"/>
      <c r="F49" s="24">
        <f t="shared" si="0"/>
        <v>0</v>
      </c>
      <c r="G49" s="56">
        <f t="shared" si="16"/>
        <v>0</v>
      </c>
      <c r="H49" s="56">
        <f t="shared" si="17"/>
        <v>0</v>
      </c>
      <c r="I49" s="56" cm="1">
        <f t="array" ref="I49">_xlfn.IFS(Y49=$Z$4,F49,Y49=$Z$3,0,Y49=#REF!,0,Y49=$Z$2,F49-1)</f>
        <v>0</v>
      </c>
      <c r="J49" s="56" cm="1">
        <f t="array" ref="J49">_xlfn.IFS(Y49=$Z$4,F49,Y49=$Z$3,0,Y49=#REF!,0,Y49=$Z$2,F49-1)</f>
        <v>0</v>
      </c>
      <c r="K49" s="59">
        <v>0</v>
      </c>
      <c r="L49" s="48"/>
      <c r="M49" s="55"/>
      <c r="N49" s="55"/>
      <c r="O49" s="55"/>
      <c r="P49" s="49"/>
      <c r="Q49" s="57">
        <f t="shared" si="15"/>
        <v>0.16666666666666666</v>
      </c>
      <c r="R49" s="49">
        <v>0</v>
      </c>
      <c r="S49" s="57"/>
      <c r="T49" s="58">
        <f t="shared" si="2"/>
        <v>0</v>
      </c>
      <c r="U49" s="58">
        <f t="shared" si="10"/>
        <v>0</v>
      </c>
      <c r="V49" s="49" t="s">
        <v>122</v>
      </c>
      <c r="W49" s="141" t="s">
        <v>65</v>
      </c>
      <c r="X49"/>
      <c r="Y49" s="1" t="s">
        <v>23</v>
      </c>
      <c r="Z49" s="13">
        <f t="shared" si="13"/>
        <v>1</v>
      </c>
      <c r="AA49" s="2">
        <f t="shared" si="14"/>
        <v>0</v>
      </c>
      <c r="AB49" s="2">
        <f t="shared" si="5"/>
        <v>0</v>
      </c>
      <c r="AC49" s="1"/>
      <c r="AD49" s="1"/>
      <c r="AE49" s="1"/>
      <c r="AF49" s="1"/>
      <c r="AG49" s="1"/>
    </row>
    <row r="50" spans="1:33" s="4" customFormat="1" x14ac:dyDescent="0.35">
      <c r="A50" s="26">
        <f t="shared" si="7"/>
        <v>0</v>
      </c>
      <c r="B50" s="29" cm="1">
        <f t="array" ref="B50">_xlfn.IFS(Y50=$Z$2,IF(U50="","",IF(G50/F50=0,U50/Q50,G50/F50)),Y50=$Z$3,0,Y50=$Z$4,1)</f>
        <v>1</v>
      </c>
      <c r="C50" s="55">
        <f t="shared" si="11"/>
        <v>1</v>
      </c>
      <c r="D50" s="49"/>
      <c r="E50" s="48"/>
      <c r="F50" s="24">
        <f t="shared" si="0"/>
        <v>0</v>
      </c>
      <c r="G50" s="56">
        <f t="shared" si="16"/>
        <v>0</v>
      </c>
      <c r="H50" s="56">
        <f t="shared" si="17"/>
        <v>0</v>
      </c>
      <c r="I50" s="56" cm="1">
        <f t="array" ref="I50">_xlfn.IFS(Y50=$Z$4,F50,Y50=$Z$3,0,Y50=#REF!,0,Y50=$Z$2,F50-1)</f>
        <v>0</v>
      </c>
      <c r="J50" s="56" cm="1">
        <f t="array" ref="J50">_xlfn.IFS(Y50=$Z$4,F50,Y50=$Z$3,0,Y50=#REF!,0,Y50=$Z$2,F50-1)</f>
        <v>0</v>
      </c>
      <c r="K50" s="59">
        <v>0</v>
      </c>
      <c r="L50" s="48"/>
      <c r="M50" s="55"/>
      <c r="N50" s="55"/>
      <c r="O50" s="55"/>
      <c r="P50" s="49"/>
      <c r="Q50" s="57">
        <f t="shared" ref="Q50:Q56" si="18">(IF(D50="Q",F50*$O$1,IF(D50="O",F50*$O$2,F50*$O$3))*IF(F50&lt;$F$2,1,IF(F50&lt;$F$3,0.9,0.875)))+$F$1</f>
        <v>0.16666666666666666</v>
      </c>
      <c r="R50" s="49">
        <v>0</v>
      </c>
      <c r="S50" s="57"/>
      <c r="T50" s="58">
        <f t="shared" ref="T50:T55" si="19">R50+S50</f>
        <v>0</v>
      </c>
      <c r="U50" s="58">
        <f>IF(O50="Continued","",SUMIFS($T$6:$T$106,$E$6:$E$106,E50,$D$6:$D$106,D50))</f>
        <v>0</v>
      </c>
      <c r="V50" s="49" t="s">
        <v>122</v>
      </c>
      <c r="W50" s="141" t="s">
        <v>65</v>
      </c>
      <c r="X50"/>
      <c r="Y50" s="1" t="s">
        <v>23</v>
      </c>
      <c r="Z50" s="13">
        <f t="shared" si="13"/>
        <v>1</v>
      </c>
      <c r="AA50" s="2">
        <f t="shared" si="14"/>
        <v>0</v>
      </c>
      <c r="AB50" s="2">
        <f t="shared" si="5"/>
        <v>0</v>
      </c>
      <c r="AC50" s="1"/>
      <c r="AD50" s="1"/>
      <c r="AE50" s="1"/>
      <c r="AF50" s="1"/>
      <c r="AG50" s="1"/>
    </row>
    <row r="51" spans="1:33" s="4" customFormat="1" x14ac:dyDescent="0.35">
      <c r="A51" s="26">
        <f t="shared" si="7"/>
        <v>0</v>
      </c>
      <c r="B51" s="29" cm="1">
        <f t="array" ref="B51">_xlfn.IFS(Y51=$Z$2,IF(U51="","",IF(G51/F51=0,U51/Q51,G51/F51)),Y51=$Z$3,0,Y51=$Z$4,1)</f>
        <v>1</v>
      </c>
      <c r="C51" s="55">
        <f t="shared" si="11"/>
        <v>1</v>
      </c>
      <c r="D51" s="49"/>
      <c r="E51" s="48"/>
      <c r="F51" s="24">
        <f t="shared" si="0"/>
        <v>0</v>
      </c>
      <c r="G51" s="56">
        <f t="shared" si="16"/>
        <v>0</v>
      </c>
      <c r="H51" s="56">
        <f t="shared" si="17"/>
        <v>0</v>
      </c>
      <c r="I51" s="56" cm="1">
        <f t="array" ref="I51">_xlfn.IFS(Y51=$Z$4,F51,Y51=$Z$3,0,Y51=#REF!,0,Y51=$Z$2,F51-1)</f>
        <v>0</v>
      </c>
      <c r="J51" s="56" cm="1">
        <f t="array" ref="J51">_xlfn.IFS(Y51=$Z$4,F51,Y51=$Z$3,0,Y51=#REF!,0,Y51=$Z$2,F51-1)</f>
        <v>0</v>
      </c>
      <c r="K51" s="59">
        <v>0</v>
      </c>
      <c r="L51" s="48"/>
      <c r="M51" s="55"/>
      <c r="N51" s="55"/>
      <c r="O51" s="55"/>
      <c r="P51" s="49"/>
      <c r="Q51" s="57">
        <f t="shared" si="18"/>
        <v>0.16666666666666666</v>
      </c>
      <c r="R51" s="49">
        <v>0</v>
      </c>
      <c r="S51" s="57"/>
      <c r="T51" s="58">
        <f t="shared" si="19"/>
        <v>0</v>
      </c>
      <c r="U51" s="58">
        <f>IF(O51="Continued","",SUMIFS($T$6:$T$106,$E$6:$E$106,E51,$D$6:$D$106,D51))</f>
        <v>0</v>
      </c>
      <c r="V51" s="49" t="s">
        <v>122</v>
      </c>
      <c r="W51" s="141" t="s">
        <v>65</v>
      </c>
      <c r="X51"/>
      <c r="Y51" s="1" t="s">
        <v>23</v>
      </c>
      <c r="Z51" s="13">
        <f t="shared" si="13"/>
        <v>1</v>
      </c>
      <c r="AA51" s="2">
        <f t="shared" si="14"/>
        <v>0</v>
      </c>
      <c r="AB51" s="2">
        <f t="shared" si="5"/>
        <v>0</v>
      </c>
      <c r="AC51" s="1"/>
      <c r="AD51" s="1"/>
      <c r="AE51" s="1"/>
      <c r="AF51" s="1"/>
      <c r="AG51" s="1"/>
    </row>
    <row r="52" spans="1:33" s="4" customFormat="1" x14ac:dyDescent="0.35">
      <c r="A52" s="26">
        <f t="shared" si="7"/>
        <v>0</v>
      </c>
      <c r="B52" s="29" cm="1">
        <f t="array" ref="B52">_xlfn.IFS(Y52=$Z$2,IF(U52="","",IF(G52/F52=0,U52/Q52,G52/F52)),Y52=$Z$3,0,Y52=$Z$4,1)</f>
        <v>1</v>
      </c>
      <c r="C52" s="55">
        <f t="shared" si="11"/>
        <v>1</v>
      </c>
      <c r="D52" s="49"/>
      <c r="E52" s="48"/>
      <c r="F52" s="24">
        <f t="shared" ref="F52:F90" si="20">IF(E52=E51,F51,0)</f>
        <v>0</v>
      </c>
      <c r="G52" s="56">
        <f t="shared" si="16"/>
        <v>0</v>
      </c>
      <c r="H52" s="56">
        <f t="shared" si="17"/>
        <v>0</v>
      </c>
      <c r="I52" s="56" cm="1">
        <f t="array" ref="I52">_xlfn.IFS(Y52=$Z$4,F52,Y52=$Z$3,0,Y52=#REF!,0,Y52=$Z$2,F52-1)</f>
        <v>0</v>
      </c>
      <c r="J52" s="56" cm="1">
        <f t="array" ref="J52">_xlfn.IFS(Y52=$Z$4,F52,Y52=$Z$3,0,Y52=#REF!,0,Y52=$Z$2,F52-1)</f>
        <v>0</v>
      </c>
      <c r="K52" s="59">
        <v>0</v>
      </c>
      <c r="L52" s="48"/>
      <c r="M52" s="55"/>
      <c r="N52" s="55"/>
      <c r="O52" s="55"/>
      <c r="P52" s="49"/>
      <c r="Q52" s="57">
        <f t="shared" si="18"/>
        <v>0.16666666666666666</v>
      </c>
      <c r="R52" s="49">
        <v>0</v>
      </c>
      <c r="S52" s="57"/>
      <c r="T52" s="58">
        <f t="shared" si="19"/>
        <v>0</v>
      </c>
      <c r="U52" s="58">
        <f>IF(O52="Continued","",SUMIFS($T$6:$T$106,$E$6:$E$106,E52,$D$6:$D$106,D52))</f>
        <v>0</v>
      </c>
      <c r="V52" s="49" t="s">
        <v>122</v>
      </c>
      <c r="W52" s="141" t="s">
        <v>65</v>
      </c>
      <c r="X52"/>
      <c r="Y52" s="1" t="s">
        <v>23</v>
      </c>
      <c r="Z52" s="13">
        <f t="shared" si="13"/>
        <v>1</v>
      </c>
      <c r="AA52" s="2">
        <f t="shared" si="14"/>
        <v>0</v>
      </c>
      <c r="AB52" s="2">
        <f t="shared" si="5"/>
        <v>0</v>
      </c>
      <c r="AC52" s="1"/>
      <c r="AD52" s="1"/>
      <c r="AE52" s="1"/>
      <c r="AF52" s="1"/>
      <c r="AG52" s="1"/>
    </row>
    <row r="53" spans="1:33" s="4" customFormat="1" x14ac:dyDescent="0.35">
      <c r="A53" s="26">
        <f t="shared" si="7"/>
        <v>0</v>
      </c>
      <c r="B53" s="29" cm="1">
        <f t="array" ref="B53">_xlfn.IFS(Y53=$Z$2,IF(U53="","",IF(G53/F53=0,U53/Q53,G53/F53)),Y53=$Z$3,0,Y53=$Z$4,1)</f>
        <v>1</v>
      </c>
      <c r="C53" s="55">
        <f t="shared" si="11"/>
        <v>1</v>
      </c>
      <c r="D53" s="49"/>
      <c r="E53" s="48"/>
      <c r="F53" s="24">
        <f t="shared" si="20"/>
        <v>0</v>
      </c>
      <c r="G53" s="56">
        <f t="shared" si="16"/>
        <v>0</v>
      </c>
      <c r="H53" s="56">
        <f t="shared" si="17"/>
        <v>0</v>
      </c>
      <c r="I53" s="56" cm="1">
        <f t="array" ref="I53">_xlfn.IFS(Y53=$Z$4,F53,Y53=$Z$3,0,Y53=#REF!,0,Y53=$Z$2,F53-1)</f>
        <v>0</v>
      </c>
      <c r="J53" s="56" cm="1">
        <f t="array" ref="J53">_xlfn.IFS(Y53=$Z$4,F53,Y53=$Z$3,0,Y53=#REF!,0,Y53=$Z$2,F53-1)</f>
        <v>0</v>
      </c>
      <c r="K53" s="59">
        <v>0</v>
      </c>
      <c r="L53" s="48"/>
      <c r="M53" s="55"/>
      <c r="N53" s="55"/>
      <c r="O53" s="55"/>
      <c r="P53" s="49"/>
      <c r="Q53" s="57">
        <f t="shared" si="18"/>
        <v>0.16666666666666666</v>
      </c>
      <c r="R53" s="49">
        <v>0</v>
      </c>
      <c r="S53" s="57"/>
      <c r="T53" s="58">
        <f t="shared" si="19"/>
        <v>0</v>
      </c>
      <c r="U53" s="58">
        <f>IF(O53="Continued","",SUMIFS($T$6:$T$106,$E$6:$E$106,E53,$D$6:$D$106,D53))</f>
        <v>0</v>
      </c>
      <c r="V53" s="49" t="s">
        <v>122</v>
      </c>
      <c r="W53" s="141" t="s">
        <v>65</v>
      </c>
      <c r="X53"/>
      <c r="Y53" s="1" t="s">
        <v>23</v>
      </c>
      <c r="Z53" s="13">
        <f t="shared" si="13"/>
        <v>1</v>
      </c>
      <c r="AA53" s="2">
        <f t="shared" si="14"/>
        <v>0</v>
      </c>
      <c r="AB53" s="2">
        <f t="shared" si="5"/>
        <v>0</v>
      </c>
      <c r="AC53" s="1"/>
      <c r="AD53" s="1"/>
      <c r="AE53" s="1"/>
      <c r="AF53" s="1"/>
      <c r="AG53" s="1"/>
    </row>
    <row r="54" spans="1:33" s="4" customFormat="1" x14ac:dyDescent="0.35">
      <c r="A54" s="26">
        <f t="shared" si="7"/>
        <v>0</v>
      </c>
      <c r="B54" s="29" cm="1">
        <f t="array" ref="B54">_xlfn.IFS(Y54=$Z$2,IF(U54="","",IF(G54/F54=0,U54/Q54,G54/F54)),Y54=$Z$3,0,Y54=$Z$4,1)</f>
        <v>1</v>
      </c>
      <c r="C54" s="55">
        <f t="shared" si="11"/>
        <v>1</v>
      </c>
      <c r="D54" s="49"/>
      <c r="E54" s="48"/>
      <c r="F54" s="24">
        <f t="shared" si="20"/>
        <v>0</v>
      </c>
      <c r="G54" s="56">
        <f t="shared" si="16"/>
        <v>0</v>
      </c>
      <c r="H54" s="56">
        <f t="shared" si="17"/>
        <v>0</v>
      </c>
      <c r="I54" s="56" cm="1">
        <f t="array" ref="I54">_xlfn.IFS(Y54=$Z$4,F54,Y54=$Z$3,0,Y54=#REF!,0,Y54=$Z$2,F54-1)</f>
        <v>0</v>
      </c>
      <c r="J54" s="56" cm="1">
        <f t="array" ref="J54">_xlfn.IFS(Y54=$Z$4,F54,Y54=$Z$3,0,Y54=#REF!,0,Y54=$Z$2,F54-1)</f>
        <v>0</v>
      </c>
      <c r="K54" s="59">
        <v>0</v>
      </c>
      <c r="L54" s="48"/>
      <c r="M54" s="55"/>
      <c r="N54" s="55"/>
      <c r="O54" s="55"/>
      <c r="P54" s="49"/>
      <c r="Q54" s="57">
        <f t="shared" si="18"/>
        <v>0.16666666666666666</v>
      </c>
      <c r="R54" s="49">
        <v>0</v>
      </c>
      <c r="S54" s="57"/>
      <c r="T54" s="58">
        <f t="shared" si="19"/>
        <v>0</v>
      </c>
      <c r="U54" s="58">
        <f>IF(O54="Continued","",SUMIFS($T$6:$T$106,$E$6:$E$106,E54,$D$6:$D$106,D54))</f>
        <v>0</v>
      </c>
      <c r="V54" s="49" t="s">
        <v>122</v>
      </c>
      <c r="W54" s="141" t="s">
        <v>65</v>
      </c>
      <c r="X54"/>
      <c r="Y54" s="1" t="s">
        <v>23</v>
      </c>
      <c r="Z54" s="13">
        <f t="shared" si="13"/>
        <v>1</v>
      </c>
      <c r="AA54" s="2">
        <f t="shared" si="14"/>
        <v>0</v>
      </c>
      <c r="AB54" s="2">
        <f t="shared" si="5"/>
        <v>0</v>
      </c>
      <c r="AC54" s="1"/>
      <c r="AD54" s="1"/>
      <c r="AE54" s="1"/>
      <c r="AF54" s="1"/>
      <c r="AG54" s="1"/>
    </row>
    <row r="55" spans="1:33" s="4" customFormat="1" x14ac:dyDescent="0.35">
      <c r="A55" s="26">
        <f t="shared" si="7"/>
        <v>0</v>
      </c>
      <c r="B55" s="29" cm="1">
        <f t="array" ref="B55">_xlfn.IFS(Y55=$Z$2,IF(U55="","",IF(G55/F55=0,U55/Q55,G55/F55)),Y55=$Z$3,0,Y55=$Z$4,1)</f>
        <v>1</v>
      </c>
      <c r="C55" s="55">
        <f t="shared" si="11"/>
        <v>1</v>
      </c>
      <c r="D55" s="49"/>
      <c r="E55" s="48"/>
      <c r="F55" s="24">
        <f t="shared" si="20"/>
        <v>0</v>
      </c>
      <c r="G55" s="56">
        <f t="shared" si="16"/>
        <v>0</v>
      </c>
      <c r="H55" s="56">
        <f t="shared" si="17"/>
        <v>0</v>
      </c>
      <c r="I55" s="56" cm="1">
        <f t="array" ref="I55">_xlfn.IFS(Y55=$Z$4,F55,Y55=$Z$3,0,Y55=#REF!,0,Y55=$Z$2,F55-1)</f>
        <v>0</v>
      </c>
      <c r="J55" s="56" cm="1">
        <f t="array" ref="J55">_xlfn.IFS(Y55=$Z$4,F55,Y55=$Z$3,0,Y55=#REF!,0,Y55=$Z$2,F55-1)</f>
        <v>0</v>
      </c>
      <c r="K55" s="59">
        <v>0</v>
      </c>
      <c r="L55" s="48"/>
      <c r="M55" s="10"/>
      <c r="N55" s="10"/>
      <c r="O55" s="10"/>
      <c r="P55" s="49"/>
      <c r="Q55" s="22">
        <f t="shared" si="18"/>
        <v>0.16666666666666666</v>
      </c>
      <c r="R55" s="49">
        <v>0</v>
      </c>
      <c r="S55" s="22"/>
      <c r="T55" s="32">
        <f t="shared" si="19"/>
        <v>0</v>
      </c>
      <c r="U55" s="32">
        <f t="shared" ref="U55:U73" si="21">IF(O55="Continued","",SUMIFS($T$8:$T$108,$E$8:$E$108,E55,$D$8:$D$108,D55))</f>
        <v>0</v>
      </c>
      <c r="V55" s="49" t="s">
        <v>122</v>
      </c>
      <c r="W55" s="141" t="s">
        <v>65</v>
      </c>
      <c r="X55" s="19"/>
      <c r="Y55" s="1" t="s">
        <v>23</v>
      </c>
      <c r="Z55" s="13">
        <f t="shared" ref="Z55:Z79" si="22">IF(Q55="","",(Q55-T55)/Q55)</f>
        <v>1</v>
      </c>
      <c r="AA55" s="2">
        <f t="shared" ref="AA55:AA71" si="23">IF(Y55=$Z$2,IF(B55="","",AB55*B55),AB55)</f>
        <v>0</v>
      </c>
      <c r="AB55" s="2">
        <f>IF(Y55="LO",P55*B55,P55)</f>
        <v>0</v>
      </c>
      <c r="AC55" s="1"/>
      <c r="AD55" s="1"/>
      <c r="AE55" s="1"/>
      <c r="AF55" s="1"/>
      <c r="AG55" s="1"/>
    </row>
    <row r="56" spans="1:33" s="4" customFormat="1" x14ac:dyDescent="0.35">
      <c r="A56" s="26">
        <f t="shared" ref="A56:A73" si="24">A55</f>
        <v>0</v>
      </c>
      <c r="B56" s="29" cm="1">
        <f t="array" ref="B56">_xlfn.IFS(Y56=$Z$2,IF(U56="","",IF(G56/F56=0,U56/Q56,G56/F56)),Y56=$Z$3,0,Y56=$Z$4,1)</f>
        <v>1</v>
      </c>
      <c r="C56" s="55">
        <f t="shared" si="11"/>
        <v>1</v>
      </c>
      <c r="D56" s="49"/>
      <c r="E56" s="48"/>
      <c r="F56" s="24">
        <f t="shared" si="20"/>
        <v>0</v>
      </c>
      <c r="G56" s="56">
        <f t="shared" si="16"/>
        <v>0</v>
      </c>
      <c r="H56" s="56">
        <f t="shared" si="17"/>
        <v>0</v>
      </c>
      <c r="I56" s="56" cm="1">
        <f t="array" ref="I56">_xlfn.IFS(Y56=$Z$4,F56,Y56=$Z$3,0,Y56=#REF!,0,Y56=$Z$2,F56-1)</f>
        <v>0</v>
      </c>
      <c r="J56" s="56" cm="1">
        <f t="array" ref="J56">_xlfn.IFS(Y56=$Z$4,F56,Y56=$Z$3,0,Y56=#REF!,0,Y56=$Z$2,F56-1)</f>
        <v>0</v>
      </c>
      <c r="K56" s="59">
        <v>0</v>
      </c>
      <c r="L56" s="48"/>
      <c r="M56" s="10"/>
      <c r="N56" s="10"/>
      <c r="O56" s="10"/>
      <c r="P56" s="49"/>
      <c r="Q56" s="22">
        <f t="shared" si="18"/>
        <v>0.16666666666666666</v>
      </c>
      <c r="R56" s="49">
        <v>0</v>
      </c>
      <c r="S56" s="22"/>
      <c r="T56" s="32">
        <f t="shared" ref="T56:T72" si="25">R56+S56</f>
        <v>0</v>
      </c>
      <c r="U56" s="32">
        <f t="shared" si="21"/>
        <v>0</v>
      </c>
      <c r="V56" s="49" t="s">
        <v>122</v>
      </c>
      <c r="W56" s="141" t="s">
        <v>65</v>
      </c>
      <c r="X56" s="19"/>
      <c r="Y56" s="1" t="s">
        <v>23</v>
      </c>
      <c r="Z56" s="13">
        <f t="shared" si="22"/>
        <v>1</v>
      </c>
      <c r="AA56" s="2">
        <f t="shared" si="23"/>
        <v>0</v>
      </c>
      <c r="AB56" s="2">
        <f>IF(Y56="LO",P56*B56,P56)</f>
        <v>0</v>
      </c>
      <c r="AC56" s="1"/>
      <c r="AD56" s="1"/>
      <c r="AE56" s="1"/>
      <c r="AF56" s="1"/>
      <c r="AG56" s="1"/>
    </row>
    <row r="57" spans="1:33" s="4" customFormat="1" x14ac:dyDescent="0.35">
      <c r="A57" s="26">
        <f t="shared" si="24"/>
        <v>0</v>
      </c>
      <c r="B57" s="29" cm="1">
        <f t="array" ref="B57">_xlfn.IFS(Y57=$Z$2,IF(U57="","",IF(G57/F57=0,U57/Q57,G57/F57)),Y57=$Z$3,0,Y57=$Z$4,1)</f>
        <v>1</v>
      </c>
      <c r="C57" s="55">
        <f t="shared" si="11"/>
        <v>1</v>
      </c>
      <c r="D57" s="49"/>
      <c r="E57" s="23"/>
      <c r="F57" s="24">
        <f t="shared" si="20"/>
        <v>0</v>
      </c>
      <c r="G57" s="56">
        <f t="shared" si="16"/>
        <v>0</v>
      </c>
      <c r="H57" s="56">
        <f t="shared" si="17"/>
        <v>0</v>
      </c>
      <c r="I57" s="56" cm="1">
        <f t="array" ref="I57">_xlfn.IFS(Y57=$Z$4,F57,Y57=$Z$3,0,Y57=#REF!,0,Y57=$Z$2,F57-1)</f>
        <v>0</v>
      </c>
      <c r="J57" s="56" cm="1">
        <f t="array" ref="J57">_xlfn.IFS(Y57=$Z$4,F57,Y57=$Z$3,0,Y57=#REF!,0,Y57=$Z$2,F57-1)</f>
        <v>0</v>
      </c>
      <c r="K57" s="59">
        <v>0</v>
      </c>
      <c r="L57" s="30"/>
      <c r="M57" s="10"/>
      <c r="N57" s="10"/>
      <c r="O57" s="10"/>
      <c r="P57" s="49"/>
      <c r="Q57" s="22">
        <f t="shared" ref="Q57:Q71" si="26">(IF(D57="Q",F57*$O$1,IF(D57="O",F57*$O$2,F57*$O$3))*IF(F57&lt;$F$2,1,IF(F57&lt;$F$3,0.9,0.875)))+$F$1</f>
        <v>0.16666666666666666</v>
      </c>
      <c r="R57" s="49">
        <v>0</v>
      </c>
      <c r="S57" s="22"/>
      <c r="T57" s="32">
        <f t="shared" si="25"/>
        <v>0</v>
      </c>
      <c r="U57" s="32">
        <f t="shared" si="21"/>
        <v>0</v>
      </c>
      <c r="V57" s="49" t="s">
        <v>122</v>
      </c>
      <c r="W57" s="141" t="s">
        <v>65</v>
      </c>
      <c r="X57" s="19"/>
      <c r="Y57" s="1" t="s">
        <v>23</v>
      </c>
      <c r="Z57" s="13">
        <f t="shared" si="22"/>
        <v>1</v>
      </c>
      <c r="AA57" s="2">
        <f t="shared" si="23"/>
        <v>0</v>
      </c>
      <c r="AB57" s="2">
        <f>IF(Y57="LO",P57*B57,P57)</f>
        <v>0</v>
      </c>
      <c r="AC57" s="1"/>
      <c r="AD57" s="1"/>
      <c r="AE57" s="1"/>
      <c r="AF57" s="1"/>
      <c r="AG57" s="1"/>
    </row>
    <row r="58" spans="1:33" s="4" customFormat="1" x14ac:dyDescent="0.35">
      <c r="A58" s="26">
        <f t="shared" si="24"/>
        <v>0</v>
      </c>
      <c r="B58" s="29" cm="1">
        <f t="array" ref="B58">_xlfn.IFS(Y58=$Z$2,IF(U58="","",IF(G58/F58=0,U58/Q58,G58/F58)),Y58=$Z$3,0,Y58=$Z$4,1)</f>
        <v>1</v>
      </c>
      <c r="C58" s="55">
        <f t="shared" si="11"/>
        <v>1</v>
      </c>
      <c r="D58" s="49"/>
      <c r="E58" s="23"/>
      <c r="F58" s="24">
        <f t="shared" si="20"/>
        <v>0</v>
      </c>
      <c r="G58" s="56">
        <f t="shared" si="16"/>
        <v>0</v>
      </c>
      <c r="H58" s="56">
        <f t="shared" si="17"/>
        <v>0</v>
      </c>
      <c r="I58" s="56" cm="1">
        <f t="array" ref="I58">_xlfn.IFS(Y58=$Z$4,F58,Y58=$Z$3,0,Y58=#REF!,0,Y58=$Z$2,F58-1)</f>
        <v>0</v>
      </c>
      <c r="J58" s="56" cm="1">
        <f t="array" ref="J58">_xlfn.IFS(Y58=$Z$4,F58,Y58=$Z$3,0,Y58=#REF!,0,Y58=$Z$2,F58-1)</f>
        <v>0</v>
      </c>
      <c r="K58" s="59">
        <v>0</v>
      </c>
      <c r="L58" s="30"/>
      <c r="M58" s="10"/>
      <c r="N58" s="10"/>
      <c r="O58" s="10"/>
      <c r="P58" s="49"/>
      <c r="Q58" s="22">
        <f t="shared" si="26"/>
        <v>0.16666666666666666</v>
      </c>
      <c r="R58" s="49">
        <v>0</v>
      </c>
      <c r="S58" s="22"/>
      <c r="T58" s="32">
        <f t="shared" si="25"/>
        <v>0</v>
      </c>
      <c r="U58" s="32">
        <f t="shared" si="21"/>
        <v>0</v>
      </c>
      <c r="V58" s="49" t="s">
        <v>122</v>
      </c>
      <c r="W58" s="141" t="s">
        <v>65</v>
      </c>
      <c r="X58" s="19"/>
      <c r="Y58" s="1" t="s">
        <v>23</v>
      </c>
      <c r="Z58" s="13">
        <f t="shared" si="22"/>
        <v>1</v>
      </c>
      <c r="AA58" s="2">
        <f t="shared" si="23"/>
        <v>0</v>
      </c>
      <c r="AB58" s="2">
        <f>IF(Y58="LO",P58*B58,P58)</f>
        <v>0</v>
      </c>
      <c r="AC58" s="1"/>
      <c r="AD58" s="1"/>
      <c r="AE58" s="1"/>
      <c r="AF58" s="1"/>
      <c r="AG58" s="1"/>
    </row>
    <row r="59" spans="1:33" s="4" customFormat="1" x14ac:dyDescent="0.35">
      <c r="A59" s="26">
        <f t="shared" si="24"/>
        <v>0</v>
      </c>
      <c r="B59" s="29" cm="1">
        <f t="array" ref="B59">_xlfn.IFS(Y59=$Z$2,IF(U59="","",IF(G59/F59=0,U59/Q59,G59/F59)),Y59=$Z$3,0,Y59=$Z$4,1)</f>
        <v>1</v>
      </c>
      <c r="C59" s="55">
        <f t="shared" si="11"/>
        <v>1</v>
      </c>
      <c r="D59" s="49"/>
      <c r="E59" s="23"/>
      <c r="F59" s="24">
        <f t="shared" si="20"/>
        <v>0</v>
      </c>
      <c r="G59" s="56">
        <f t="shared" si="16"/>
        <v>0</v>
      </c>
      <c r="H59" s="56">
        <f t="shared" si="17"/>
        <v>0</v>
      </c>
      <c r="I59" s="56" cm="1">
        <f t="array" ref="I59">_xlfn.IFS(Y59=$Z$4,F59,Y59=$Z$3,0,Y59=#REF!,0,Y59=$Z$2,F59-1)</f>
        <v>0</v>
      </c>
      <c r="J59" s="56" cm="1">
        <f t="array" ref="J59">_xlfn.IFS(Y59=$Z$4,F59,Y59=$Z$3,0,Y59=#REF!,0,Y59=$Z$2,F59-1)</f>
        <v>0</v>
      </c>
      <c r="K59" s="59">
        <v>0</v>
      </c>
      <c r="L59" s="30"/>
      <c r="M59" s="10"/>
      <c r="N59" s="10"/>
      <c r="O59" s="10"/>
      <c r="P59" s="49"/>
      <c r="Q59" s="22">
        <f t="shared" si="26"/>
        <v>0.16666666666666666</v>
      </c>
      <c r="R59" s="49">
        <v>0</v>
      </c>
      <c r="S59" s="22"/>
      <c r="T59" s="32">
        <f t="shared" si="25"/>
        <v>0</v>
      </c>
      <c r="U59" s="32">
        <f t="shared" si="21"/>
        <v>0</v>
      </c>
      <c r="V59" s="49" t="s">
        <v>122</v>
      </c>
      <c r="W59" s="141" t="s">
        <v>65</v>
      </c>
      <c r="X59" s="19"/>
      <c r="Y59" s="1" t="s">
        <v>23</v>
      </c>
      <c r="Z59" s="13">
        <f t="shared" si="22"/>
        <v>1</v>
      </c>
      <c r="AA59" s="2">
        <f t="shared" si="23"/>
        <v>0</v>
      </c>
      <c r="AB59" s="2">
        <f t="shared" ref="AB59:AB71" si="27">IF(Y59="LO",P59*B59,P59)</f>
        <v>0</v>
      </c>
      <c r="AC59" s="1"/>
      <c r="AD59" s="1"/>
      <c r="AE59" s="1"/>
      <c r="AF59" s="1"/>
      <c r="AG59" s="1"/>
    </row>
    <row r="60" spans="1:33" s="4" customFormat="1" x14ac:dyDescent="0.35">
      <c r="A60" s="26">
        <f t="shared" si="24"/>
        <v>0</v>
      </c>
      <c r="B60" s="29" cm="1">
        <f t="array" ref="B60">_xlfn.IFS(Y60=$Z$2,IF(U60="","",IF(G60/F60=0,U60/Q60,G60/F60)),Y60=$Z$3,0,Y60=$Z$4,1)</f>
        <v>1</v>
      </c>
      <c r="C60" s="55">
        <f t="shared" si="11"/>
        <v>1</v>
      </c>
      <c r="D60" s="49"/>
      <c r="E60" s="23"/>
      <c r="F60" s="24">
        <f t="shared" si="20"/>
        <v>0</v>
      </c>
      <c r="G60" s="56">
        <f t="shared" si="16"/>
        <v>0</v>
      </c>
      <c r="H60" s="56">
        <f t="shared" si="17"/>
        <v>0</v>
      </c>
      <c r="I60" s="56" cm="1">
        <f t="array" ref="I60">_xlfn.IFS(Y60=$Z$4,F60,Y60=$Z$3,0,Y60=#REF!,0,Y60=$Z$2,F60-1)</f>
        <v>0</v>
      </c>
      <c r="J60" s="56" cm="1">
        <f t="array" ref="J60">_xlfn.IFS(Y60=$Z$4,F60,Y60=$Z$3,0,Y60=#REF!,0,Y60=$Z$2,F60-1)</f>
        <v>0</v>
      </c>
      <c r="K60" s="59">
        <v>0</v>
      </c>
      <c r="L60" s="30"/>
      <c r="M60" s="10"/>
      <c r="N60" s="10"/>
      <c r="O60" s="10"/>
      <c r="P60" s="49"/>
      <c r="Q60" s="22">
        <f t="shared" si="26"/>
        <v>0.16666666666666666</v>
      </c>
      <c r="R60" s="49">
        <v>0</v>
      </c>
      <c r="S60" s="22"/>
      <c r="T60" s="32">
        <f t="shared" si="25"/>
        <v>0</v>
      </c>
      <c r="U60" s="32">
        <f t="shared" si="21"/>
        <v>0</v>
      </c>
      <c r="V60" s="49" t="s">
        <v>122</v>
      </c>
      <c r="W60" s="141" t="s">
        <v>65</v>
      </c>
      <c r="X60" s="19"/>
      <c r="Y60" s="1" t="s">
        <v>23</v>
      </c>
      <c r="Z60" s="13">
        <f t="shared" si="22"/>
        <v>1</v>
      </c>
      <c r="AA60" s="2">
        <f t="shared" si="23"/>
        <v>0</v>
      </c>
      <c r="AB60" s="2">
        <f t="shared" si="27"/>
        <v>0</v>
      </c>
      <c r="AC60" s="1"/>
      <c r="AD60" s="1"/>
      <c r="AE60" s="1"/>
      <c r="AF60" s="1"/>
      <c r="AG60" s="1"/>
    </row>
    <row r="61" spans="1:33" s="4" customFormat="1" x14ac:dyDescent="0.35">
      <c r="A61" s="26">
        <f t="shared" si="24"/>
        <v>0</v>
      </c>
      <c r="B61" s="29" cm="1">
        <f t="array" ref="B61">_xlfn.IFS(Y61=$Z$2,IF(U61="","",IF(G61/F61=0,U61/Q61,G61/F61)),Y61=$Z$3,0,Y61=$Z$4,1)</f>
        <v>1</v>
      </c>
      <c r="C61" s="55">
        <f t="shared" si="11"/>
        <v>1</v>
      </c>
      <c r="D61" s="49"/>
      <c r="E61" s="23"/>
      <c r="F61" s="24">
        <f t="shared" si="20"/>
        <v>0</v>
      </c>
      <c r="G61" s="56">
        <f t="shared" si="16"/>
        <v>0</v>
      </c>
      <c r="H61" s="56">
        <f t="shared" si="17"/>
        <v>0</v>
      </c>
      <c r="I61" s="56" cm="1">
        <f t="array" ref="I61">_xlfn.IFS(Y61=$Z$4,F61,Y61=$Z$3,0,Y61=#REF!,0,Y61=$Z$2,F61-1)</f>
        <v>0</v>
      </c>
      <c r="J61" s="56" cm="1">
        <f t="array" ref="J61">_xlfn.IFS(Y61=$Z$4,F61,Y61=$Z$3,0,Y61=#REF!,0,Y61=$Z$2,F61-1)</f>
        <v>0</v>
      </c>
      <c r="K61" s="59">
        <v>0</v>
      </c>
      <c r="L61" s="30"/>
      <c r="M61" s="10"/>
      <c r="N61" s="10"/>
      <c r="O61" s="10"/>
      <c r="P61" s="49"/>
      <c r="Q61" s="22">
        <f t="shared" si="26"/>
        <v>0.16666666666666666</v>
      </c>
      <c r="R61" s="49">
        <v>0</v>
      </c>
      <c r="S61" s="22"/>
      <c r="T61" s="32">
        <f t="shared" si="25"/>
        <v>0</v>
      </c>
      <c r="U61" s="32">
        <f t="shared" si="21"/>
        <v>0</v>
      </c>
      <c r="V61" s="49" t="s">
        <v>122</v>
      </c>
      <c r="W61" s="141" t="s">
        <v>65</v>
      </c>
      <c r="X61" s="19"/>
      <c r="Y61" s="1" t="s">
        <v>23</v>
      </c>
      <c r="Z61" s="13">
        <f t="shared" si="22"/>
        <v>1</v>
      </c>
      <c r="AA61" s="2">
        <f t="shared" si="23"/>
        <v>0</v>
      </c>
      <c r="AB61" s="2">
        <f t="shared" si="27"/>
        <v>0</v>
      </c>
      <c r="AC61" s="1"/>
      <c r="AD61" s="1"/>
      <c r="AE61" s="1"/>
      <c r="AF61" s="1"/>
      <c r="AG61" s="1"/>
    </row>
    <row r="62" spans="1:33" s="4" customFormat="1" x14ac:dyDescent="0.35">
      <c r="A62" s="26">
        <f t="shared" si="24"/>
        <v>0</v>
      </c>
      <c r="B62" s="29" cm="1">
        <f t="array" ref="B62">_xlfn.IFS(Y62=$Z$2,IF(U62="","",IF(G62/F62=0,U62/Q62,G62/F62)),Y62=$Z$3,0,Y62=$Z$4,1)</f>
        <v>1</v>
      </c>
      <c r="C62" s="55">
        <f t="shared" si="11"/>
        <v>1</v>
      </c>
      <c r="D62" s="49"/>
      <c r="E62" s="23"/>
      <c r="F62" s="24">
        <f t="shared" si="20"/>
        <v>0</v>
      </c>
      <c r="G62" s="56">
        <f t="shared" si="16"/>
        <v>0</v>
      </c>
      <c r="H62" s="56">
        <f t="shared" si="17"/>
        <v>0</v>
      </c>
      <c r="I62" s="56" cm="1">
        <f t="array" ref="I62">_xlfn.IFS(Y62=$Z$4,F62,Y62=$Z$3,0,Y62=#REF!,0,Y62=$Z$2,F62-1)</f>
        <v>0</v>
      </c>
      <c r="J62" s="56" cm="1">
        <f t="array" ref="J62">_xlfn.IFS(Y62=$Z$4,F62,Y62=$Z$3,0,Y62=#REF!,0,Y62=$Z$2,F62-1)</f>
        <v>0</v>
      </c>
      <c r="K62" s="59">
        <v>0</v>
      </c>
      <c r="L62" s="30"/>
      <c r="M62" s="10"/>
      <c r="N62" s="10"/>
      <c r="O62" s="10"/>
      <c r="P62" s="49"/>
      <c r="Q62" s="22">
        <f t="shared" si="26"/>
        <v>0.16666666666666666</v>
      </c>
      <c r="R62" s="49">
        <v>0</v>
      </c>
      <c r="S62" s="22"/>
      <c r="T62" s="32">
        <f t="shared" si="25"/>
        <v>0</v>
      </c>
      <c r="U62" s="32">
        <f t="shared" si="21"/>
        <v>0</v>
      </c>
      <c r="V62" s="49" t="s">
        <v>122</v>
      </c>
      <c r="W62" s="141" t="s">
        <v>65</v>
      </c>
      <c r="X62" s="19"/>
      <c r="Y62" s="1" t="s">
        <v>23</v>
      </c>
      <c r="Z62" s="13">
        <f t="shared" si="22"/>
        <v>1</v>
      </c>
      <c r="AA62" s="2">
        <f t="shared" si="23"/>
        <v>0</v>
      </c>
      <c r="AB62" s="2">
        <f t="shared" si="27"/>
        <v>0</v>
      </c>
      <c r="AC62" s="1"/>
      <c r="AD62" s="1"/>
      <c r="AE62" s="1"/>
      <c r="AF62" s="1"/>
      <c r="AG62" s="1"/>
    </row>
    <row r="63" spans="1:33" s="4" customFormat="1" x14ac:dyDescent="0.35">
      <c r="A63" s="26">
        <f t="shared" si="24"/>
        <v>0</v>
      </c>
      <c r="B63" s="29" cm="1">
        <f t="array" ref="B63">_xlfn.IFS(Y63=$Z$2,IF(U63="","",IF(G63/F63=0,U63/Q63,G63/F63)),Y63=$Z$3,0,Y63=$Z$4,1)</f>
        <v>1</v>
      </c>
      <c r="C63" s="55">
        <f t="shared" si="11"/>
        <v>1</v>
      </c>
      <c r="D63" s="49"/>
      <c r="E63" s="23"/>
      <c r="F63" s="24">
        <f t="shared" si="20"/>
        <v>0</v>
      </c>
      <c r="G63" s="56">
        <f t="shared" si="16"/>
        <v>0</v>
      </c>
      <c r="H63" s="56">
        <f t="shared" si="17"/>
        <v>0</v>
      </c>
      <c r="I63" s="56" cm="1">
        <f t="array" ref="I63">_xlfn.IFS(Y63=$Z$4,F63,Y63=$Z$3,0,Y63=#REF!,0,Y63=$Z$2,F63-1)</f>
        <v>0</v>
      </c>
      <c r="J63" s="56" cm="1">
        <f t="array" ref="J63">_xlfn.IFS(Y63=$Z$4,F63,Y63=$Z$3,0,Y63=#REF!,0,Y63=$Z$2,F63-1)</f>
        <v>0</v>
      </c>
      <c r="K63" s="59">
        <v>0</v>
      </c>
      <c r="L63" s="30"/>
      <c r="M63" s="10"/>
      <c r="N63" s="10"/>
      <c r="O63" s="10"/>
      <c r="P63" s="49"/>
      <c r="Q63" s="22">
        <f t="shared" si="26"/>
        <v>0.16666666666666666</v>
      </c>
      <c r="R63" s="49">
        <v>0</v>
      </c>
      <c r="S63" s="22"/>
      <c r="T63" s="32">
        <f t="shared" si="25"/>
        <v>0</v>
      </c>
      <c r="U63" s="32">
        <f t="shared" si="21"/>
        <v>0</v>
      </c>
      <c r="V63" s="49" t="s">
        <v>122</v>
      </c>
      <c r="W63" s="141" t="s">
        <v>65</v>
      </c>
      <c r="X63" s="19"/>
      <c r="Y63" s="1" t="s">
        <v>23</v>
      </c>
      <c r="Z63" s="13">
        <f t="shared" si="22"/>
        <v>1</v>
      </c>
      <c r="AA63" s="2">
        <f t="shared" si="23"/>
        <v>0</v>
      </c>
      <c r="AB63" s="2">
        <f t="shared" si="27"/>
        <v>0</v>
      </c>
      <c r="AC63" s="1"/>
      <c r="AD63" s="1"/>
      <c r="AE63" s="1"/>
      <c r="AF63" s="1"/>
      <c r="AG63" s="1"/>
    </row>
    <row r="64" spans="1:33" s="4" customFormat="1" x14ac:dyDescent="0.35">
      <c r="A64" s="26">
        <f t="shared" si="24"/>
        <v>0</v>
      </c>
      <c r="B64" s="29" cm="1">
        <f t="array" ref="B64">_xlfn.IFS(Y64=$Z$2,IF(U64="","",IF(G64/F64=0,U64/Q64,G64/F64)),Y64=$Z$3,0,Y64=$Z$4,1)</f>
        <v>1</v>
      </c>
      <c r="C64" s="55">
        <f t="shared" si="11"/>
        <v>1</v>
      </c>
      <c r="D64" s="49"/>
      <c r="E64" s="23"/>
      <c r="F64" s="24">
        <f t="shared" si="20"/>
        <v>0</v>
      </c>
      <c r="G64" s="56">
        <f t="shared" si="16"/>
        <v>0</v>
      </c>
      <c r="H64" s="56">
        <f t="shared" si="17"/>
        <v>0</v>
      </c>
      <c r="I64" s="56" cm="1">
        <f t="array" ref="I64">_xlfn.IFS(Y64=$Z$4,F64,Y64=$Z$3,0,Y64=#REF!,0,Y64=$Z$2,F64-1)</f>
        <v>0</v>
      </c>
      <c r="J64" s="56" cm="1">
        <f t="array" ref="J64">_xlfn.IFS(Y64=$Z$4,F64,Y64=$Z$3,0,Y64=#REF!,0,Y64=$Z$2,F64-1)</f>
        <v>0</v>
      </c>
      <c r="K64" s="59">
        <v>0</v>
      </c>
      <c r="L64" s="30"/>
      <c r="M64" s="10"/>
      <c r="N64" s="10"/>
      <c r="O64" s="10"/>
      <c r="P64" s="49"/>
      <c r="Q64" s="22">
        <f t="shared" si="26"/>
        <v>0.16666666666666666</v>
      </c>
      <c r="R64" s="49">
        <v>0</v>
      </c>
      <c r="S64" s="22"/>
      <c r="T64" s="32">
        <f t="shared" si="25"/>
        <v>0</v>
      </c>
      <c r="U64" s="32">
        <f t="shared" si="21"/>
        <v>0</v>
      </c>
      <c r="V64" s="49" t="s">
        <v>122</v>
      </c>
      <c r="W64" s="141" t="s">
        <v>65</v>
      </c>
      <c r="X64" s="19"/>
      <c r="Y64" s="1" t="s">
        <v>23</v>
      </c>
      <c r="Z64" s="13">
        <f t="shared" si="22"/>
        <v>1</v>
      </c>
      <c r="AA64" s="2">
        <f t="shared" si="23"/>
        <v>0</v>
      </c>
      <c r="AB64" s="2">
        <f t="shared" si="27"/>
        <v>0</v>
      </c>
      <c r="AC64" s="1"/>
      <c r="AD64" s="1"/>
      <c r="AE64" s="1"/>
      <c r="AF64" s="1"/>
      <c r="AG64" s="1"/>
    </row>
    <row r="65" spans="1:33" s="4" customFormat="1" x14ac:dyDescent="0.35">
      <c r="A65" s="26">
        <f t="shared" si="24"/>
        <v>0</v>
      </c>
      <c r="B65" s="29" cm="1">
        <f t="array" ref="B65">_xlfn.IFS(Y65=$Z$2,IF(U65="","",IF(G65/F65=0,U65/Q65,G65/F65)),Y65=$Z$3,0,Y65=$Z$4,1)</f>
        <v>1</v>
      </c>
      <c r="C65" s="55">
        <f t="shared" si="11"/>
        <v>1</v>
      </c>
      <c r="D65" s="49"/>
      <c r="E65" s="23"/>
      <c r="F65" s="24">
        <f t="shared" si="20"/>
        <v>0</v>
      </c>
      <c r="G65" s="56">
        <f t="shared" si="16"/>
        <v>0</v>
      </c>
      <c r="H65" s="56">
        <f t="shared" si="17"/>
        <v>0</v>
      </c>
      <c r="I65" s="56" cm="1">
        <f t="array" ref="I65">_xlfn.IFS(Y65=$Z$4,F65,Y65=$Z$3,0,Y65=#REF!,0,Y65=$Z$2,F65-1)</f>
        <v>0</v>
      </c>
      <c r="J65" s="56" cm="1">
        <f t="array" ref="J65">_xlfn.IFS(Y65=$Z$4,F65,Y65=$Z$3,0,Y65=#REF!,0,Y65=$Z$2,F65-1)</f>
        <v>0</v>
      </c>
      <c r="K65" s="59">
        <v>0</v>
      </c>
      <c r="L65" s="30"/>
      <c r="M65" s="10"/>
      <c r="N65" s="10"/>
      <c r="O65" s="10"/>
      <c r="P65" s="49"/>
      <c r="Q65" s="22">
        <f t="shared" si="26"/>
        <v>0.16666666666666666</v>
      </c>
      <c r="R65" s="49">
        <v>0</v>
      </c>
      <c r="S65" s="22"/>
      <c r="T65" s="32">
        <f t="shared" si="25"/>
        <v>0</v>
      </c>
      <c r="U65" s="32">
        <f t="shared" si="21"/>
        <v>0</v>
      </c>
      <c r="V65" s="49" t="s">
        <v>122</v>
      </c>
      <c r="W65" s="141" t="s">
        <v>65</v>
      </c>
      <c r="X65" s="19"/>
      <c r="Y65" s="1" t="s">
        <v>23</v>
      </c>
      <c r="Z65" s="13">
        <f t="shared" si="22"/>
        <v>1</v>
      </c>
      <c r="AA65" s="2">
        <f t="shared" si="23"/>
        <v>0</v>
      </c>
      <c r="AB65" s="2">
        <f t="shared" si="27"/>
        <v>0</v>
      </c>
      <c r="AC65" s="1"/>
      <c r="AD65" s="1"/>
      <c r="AE65" s="1"/>
      <c r="AF65" s="1"/>
      <c r="AG65" s="1"/>
    </row>
    <row r="66" spans="1:33" s="4" customFormat="1" x14ac:dyDescent="0.35">
      <c r="A66" s="26">
        <f t="shared" si="24"/>
        <v>0</v>
      </c>
      <c r="B66" s="29" cm="1">
        <f t="array" ref="B66">_xlfn.IFS(Y66=$Z$2,IF(U66="","",IF(G66/F66=0,U66/Q66,G66/F66)),Y66=$Z$3,0,Y66=$Z$4,1)</f>
        <v>1</v>
      </c>
      <c r="C66" s="55">
        <f t="shared" si="11"/>
        <v>1</v>
      </c>
      <c r="D66" s="49"/>
      <c r="E66" s="23"/>
      <c r="F66" s="24">
        <f t="shared" si="20"/>
        <v>0</v>
      </c>
      <c r="G66" s="56">
        <f t="shared" si="16"/>
        <v>0</v>
      </c>
      <c r="H66" s="56">
        <f t="shared" si="17"/>
        <v>0</v>
      </c>
      <c r="I66" s="56" cm="1">
        <f t="array" ref="I66">_xlfn.IFS(Y66=$Z$4,F66,Y66=$Z$3,0,Y66=#REF!,0,Y66=$Z$2,F66-1)</f>
        <v>0</v>
      </c>
      <c r="J66" s="56" cm="1">
        <f t="array" ref="J66">_xlfn.IFS(Y66=$Z$4,F66,Y66=$Z$3,0,Y66=#REF!,0,Y66=$Z$2,F66-1)</f>
        <v>0</v>
      </c>
      <c r="K66" s="59">
        <v>0</v>
      </c>
      <c r="L66" s="23"/>
      <c r="M66" s="10"/>
      <c r="N66" s="10"/>
      <c r="O66" s="10"/>
      <c r="P66" s="49"/>
      <c r="Q66" s="22">
        <f t="shared" si="26"/>
        <v>0.16666666666666666</v>
      </c>
      <c r="R66" s="49">
        <v>0</v>
      </c>
      <c r="S66" s="22"/>
      <c r="T66" s="32">
        <f t="shared" si="25"/>
        <v>0</v>
      </c>
      <c r="U66" s="32">
        <f t="shared" si="21"/>
        <v>0</v>
      </c>
      <c r="V66" s="49" t="s">
        <v>122</v>
      </c>
      <c r="W66" s="141" t="s">
        <v>65</v>
      </c>
      <c r="X66" s="19"/>
      <c r="Y66" s="1" t="s">
        <v>23</v>
      </c>
      <c r="Z66" s="13">
        <f t="shared" si="22"/>
        <v>1</v>
      </c>
      <c r="AA66" s="2">
        <f t="shared" si="23"/>
        <v>0</v>
      </c>
      <c r="AB66" s="2">
        <f t="shared" si="27"/>
        <v>0</v>
      </c>
      <c r="AC66" s="1"/>
      <c r="AD66" s="1"/>
      <c r="AE66" s="1"/>
      <c r="AF66" s="1"/>
      <c r="AG66" s="1"/>
    </row>
    <row r="67" spans="1:33" s="4" customFormat="1" x14ac:dyDescent="0.35">
      <c r="A67" s="26">
        <f t="shared" si="24"/>
        <v>0</v>
      </c>
      <c r="B67" s="29" cm="1">
        <f t="array" ref="B67">_xlfn.IFS(Y67=$Z$2,IF(U67="","",IF(G67/F67=0,U67/Q67,G67/F67)),Y67=$Z$3,0,Y67=$Z$4,1)</f>
        <v>1</v>
      </c>
      <c r="C67" s="55">
        <f t="shared" si="11"/>
        <v>1</v>
      </c>
      <c r="D67" s="49"/>
      <c r="E67" s="23"/>
      <c r="F67" s="24">
        <f t="shared" si="20"/>
        <v>0</v>
      </c>
      <c r="G67" s="56">
        <f t="shared" si="16"/>
        <v>0</v>
      </c>
      <c r="H67" s="56">
        <f t="shared" si="17"/>
        <v>0</v>
      </c>
      <c r="I67" s="56" cm="1">
        <f t="array" ref="I67">_xlfn.IFS(Y67=$Z$4,F67,Y67=$Z$3,0,Y67=#REF!,0,Y67=$Z$2,F67-1)</f>
        <v>0</v>
      </c>
      <c r="J67" s="56" cm="1">
        <f t="array" ref="J67">_xlfn.IFS(Y67=$Z$4,F67,Y67=$Z$3,0,Y67=#REF!,0,Y67=$Z$2,F67-1)</f>
        <v>0</v>
      </c>
      <c r="K67" s="59">
        <v>0</v>
      </c>
      <c r="L67" s="23"/>
      <c r="M67" s="10"/>
      <c r="N67" s="10"/>
      <c r="O67" s="10"/>
      <c r="P67" s="49"/>
      <c r="Q67" s="22">
        <f t="shared" si="26"/>
        <v>0.16666666666666666</v>
      </c>
      <c r="R67" s="49">
        <v>0</v>
      </c>
      <c r="S67" s="22"/>
      <c r="T67" s="32">
        <f t="shared" si="25"/>
        <v>0</v>
      </c>
      <c r="U67" s="32">
        <f t="shared" si="21"/>
        <v>0</v>
      </c>
      <c r="V67" s="49" t="s">
        <v>122</v>
      </c>
      <c r="W67" s="141" t="s">
        <v>65</v>
      </c>
      <c r="X67" s="19"/>
      <c r="Y67" s="1" t="s">
        <v>23</v>
      </c>
      <c r="Z67" s="13">
        <f t="shared" si="22"/>
        <v>1</v>
      </c>
      <c r="AA67" s="2">
        <f t="shared" si="23"/>
        <v>0</v>
      </c>
      <c r="AB67" s="2">
        <f t="shared" si="27"/>
        <v>0</v>
      </c>
      <c r="AC67" s="1"/>
      <c r="AD67" s="1"/>
      <c r="AE67" s="1"/>
      <c r="AF67" s="1"/>
      <c r="AG67" s="1"/>
    </row>
    <row r="68" spans="1:33" s="4" customFormat="1" x14ac:dyDescent="0.35">
      <c r="A68" s="26">
        <f t="shared" si="24"/>
        <v>0</v>
      </c>
      <c r="B68" s="29" cm="1">
        <f t="array" ref="B68">_xlfn.IFS(Y68=$Z$2,IF(U68="","",IF(G68/F68=0,U68/Q68,G68/F68)),Y68=$Z$3,0,Y68=$Z$4,1)</f>
        <v>1</v>
      </c>
      <c r="C68" s="55">
        <f t="shared" si="11"/>
        <v>1</v>
      </c>
      <c r="D68" s="49"/>
      <c r="E68" s="23"/>
      <c r="F68" s="24">
        <f t="shared" si="20"/>
        <v>0</v>
      </c>
      <c r="G68" s="56">
        <f t="shared" si="16"/>
        <v>0</v>
      </c>
      <c r="H68" s="56">
        <f t="shared" si="17"/>
        <v>0</v>
      </c>
      <c r="I68" s="56" cm="1">
        <f t="array" ref="I68">_xlfn.IFS(Y68=$Z$4,F68,Y68=$Z$3,0,Y68=#REF!,0,Y68=$Z$2,F68-1)</f>
        <v>0</v>
      </c>
      <c r="J68" s="56" cm="1">
        <f t="array" ref="J68">_xlfn.IFS(Y68=$Z$4,F68,Y68=$Z$3,0,Y68=#REF!,0,Y68=$Z$2,F68-1)</f>
        <v>0</v>
      </c>
      <c r="K68" s="59">
        <v>0</v>
      </c>
      <c r="L68" s="23"/>
      <c r="M68" s="10"/>
      <c r="N68" s="10"/>
      <c r="O68" s="10"/>
      <c r="P68" s="49"/>
      <c r="Q68" s="22">
        <f t="shared" si="26"/>
        <v>0.16666666666666666</v>
      </c>
      <c r="R68" s="49">
        <v>0</v>
      </c>
      <c r="S68" s="22"/>
      <c r="T68" s="32">
        <f t="shared" si="25"/>
        <v>0</v>
      </c>
      <c r="U68" s="32">
        <f t="shared" si="21"/>
        <v>0</v>
      </c>
      <c r="V68" s="49" t="s">
        <v>122</v>
      </c>
      <c r="W68" s="141" t="s">
        <v>65</v>
      </c>
      <c r="X68" s="19"/>
      <c r="Y68" s="1" t="s">
        <v>23</v>
      </c>
      <c r="Z68" s="13">
        <f t="shared" si="22"/>
        <v>1</v>
      </c>
      <c r="AA68" s="2">
        <f t="shared" si="23"/>
        <v>0</v>
      </c>
      <c r="AB68" s="2">
        <f t="shared" si="27"/>
        <v>0</v>
      </c>
      <c r="AC68" s="1"/>
      <c r="AD68" s="1"/>
      <c r="AE68" s="1"/>
      <c r="AF68" s="1"/>
      <c r="AG68" s="1"/>
    </row>
    <row r="69" spans="1:33" s="4" customFormat="1" x14ac:dyDescent="0.35">
      <c r="A69" s="26">
        <f t="shared" si="24"/>
        <v>0</v>
      </c>
      <c r="B69" s="29" cm="1">
        <f t="array" ref="B69">_xlfn.IFS(Y69=$Z$2,IF(U69="","",IF(G69/F69=0,U69/Q69,G69/F69)),Y69=$Z$3,0,Y69=$Z$4,1)</f>
        <v>1</v>
      </c>
      <c r="C69" s="55">
        <f t="shared" si="11"/>
        <v>1</v>
      </c>
      <c r="D69" s="49"/>
      <c r="E69" s="23"/>
      <c r="F69" s="24">
        <f t="shared" si="20"/>
        <v>0</v>
      </c>
      <c r="G69" s="56">
        <f t="shared" si="16"/>
        <v>0</v>
      </c>
      <c r="H69" s="56">
        <f t="shared" si="17"/>
        <v>0</v>
      </c>
      <c r="I69" s="56" cm="1">
        <f t="array" ref="I69">_xlfn.IFS(Y69=$Z$4,F69,Y69=$Z$3,0,Y69=#REF!,0,Y69=$Z$2,F69-1)</f>
        <v>0</v>
      </c>
      <c r="J69" s="56" cm="1">
        <f t="array" ref="J69">_xlfn.IFS(Y69=$Z$4,F69,Y69=$Z$3,0,Y69=#REF!,0,Y69=$Z$2,F69-1)</f>
        <v>0</v>
      </c>
      <c r="K69" s="59">
        <v>0</v>
      </c>
      <c r="L69" s="23"/>
      <c r="M69" s="10"/>
      <c r="N69" s="10"/>
      <c r="O69" s="10"/>
      <c r="P69" s="49"/>
      <c r="Q69" s="22">
        <f t="shared" si="26"/>
        <v>0.16666666666666666</v>
      </c>
      <c r="R69" s="49">
        <v>0</v>
      </c>
      <c r="S69" s="22"/>
      <c r="T69" s="32">
        <f t="shared" si="25"/>
        <v>0</v>
      </c>
      <c r="U69" s="32">
        <f t="shared" si="21"/>
        <v>0</v>
      </c>
      <c r="V69" s="49" t="s">
        <v>122</v>
      </c>
      <c r="W69" s="141" t="s">
        <v>65</v>
      </c>
      <c r="X69" s="19"/>
      <c r="Y69" s="1" t="s">
        <v>23</v>
      </c>
      <c r="Z69" s="13">
        <f t="shared" si="22"/>
        <v>1</v>
      </c>
      <c r="AA69" s="2">
        <f t="shared" si="23"/>
        <v>0</v>
      </c>
      <c r="AB69" s="2">
        <f t="shared" si="27"/>
        <v>0</v>
      </c>
      <c r="AC69" s="1"/>
      <c r="AD69" s="1"/>
      <c r="AE69" s="1"/>
      <c r="AF69" s="1"/>
      <c r="AG69" s="1"/>
    </row>
    <row r="70" spans="1:33" s="4" customFormat="1" x14ac:dyDescent="0.35">
      <c r="A70" s="26">
        <f t="shared" si="24"/>
        <v>0</v>
      </c>
      <c r="B70" s="29" cm="1">
        <f t="array" ref="B70">_xlfn.IFS(Y70=$Z$2,IF(U70="","",IF(G70/F70=0,U70/Q70,G70/F70)),Y70=$Z$3,0,Y70=$Z$4,1)</f>
        <v>1</v>
      </c>
      <c r="C70" s="55">
        <f t="shared" si="11"/>
        <v>1</v>
      </c>
      <c r="D70" s="49"/>
      <c r="E70" s="10"/>
      <c r="F70" s="24">
        <f t="shared" si="20"/>
        <v>0</v>
      </c>
      <c r="G70" s="56">
        <f t="shared" si="16"/>
        <v>0</v>
      </c>
      <c r="H70" s="56">
        <f t="shared" si="17"/>
        <v>0</v>
      </c>
      <c r="I70" s="56" cm="1">
        <f t="array" ref="I70">_xlfn.IFS(Y70=$Z$4,F70,Y70=$Z$3,0,Y70=#REF!,0,Y70=$Z$2,F70-1)</f>
        <v>0</v>
      </c>
      <c r="J70" s="56" cm="1">
        <f t="array" ref="J70">_xlfn.IFS(Y70=$Z$4,F70,Y70=$Z$3,0,Y70=#REF!,0,Y70=$Z$2,F70-1)</f>
        <v>0</v>
      </c>
      <c r="K70" s="59">
        <v>0</v>
      </c>
      <c r="L70" s="10"/>
      <c r="M70" s="10"/>
      <c r="N70" s="10"/>
      <c r="O70" s="10"/>
      <c r="P70" s="49"/>
      <c r="Q70" s="22">
        <f t="shared" si="26"/>
        <v>0.16666666666666666</v>
      </c>
      <c r="R70" s="49">
        <v>0</v>
      </c>
      <c r="S70" s="22"/>
      <c r="T70" s="32">
        <f t="shared" si="25"/>
        <v>0</v>
      </c>
      <c r="U70" s="32">
        <f t="shared" si="21"/>
        <v>0</v>
      </c>
      <c r="V70" s="49" t="s">
        <v>122</v>
      </c>
      <c r="W70" s="141" t="s">
        <v>65</v>
      </c>
      <c r="X70" s="19"/>
      <c r="Y70" s="1" t="s">
        <v>23</v>
      </c>
      <c r="Z70" s="13">
        <f t="shared" si="22"/>
        <v>1</v>
      </c>
      <c r="AA70" s="2">
        <f t="shared" si="23"/>
        <v>0</v>
      </c>
      <c r="AB70" s="2">
        <f t="shared" si="27"/>
        <v>0</v>
      </c>
      <c r="AC70" s="1"/>
      <c r="AD70" s="1"/>
      <c r="AE70" s="1"/>
      <c r="AF70" s="1"/>
      <c r="AG70" s="1"/>
    </row>
    <row r="71" spans="1:33" x14ac:dyDescent="0.35">
      <c r="A71" s="26">
        <f t="shared" si="24"/>
        <v>0</v>
      </c>
      <c r="B71" s="29" cm="1">
        <f t="array" ref="B71">_xlfn.IFS(Y71=$Z$2,IF(U71="","",IF(G71/F71=0,U71/Q71,G71/F71)),Y71=$Z$3,0,Y71=$Z$4,1)</f>
        <v>1</v>
      </c>
      <c r="C71" s="55">
        <f t="shared" si="11"/>
        <v>1</v>
      </c>
      <c r="D71" s="49"/>
      <c r="E71" s="10"/>
      <c r="F71" s="24">
        <f t="shared" si="20"/>
        <v>0</v>
      </c>
      <c r="G71" s="56">
        <f t="shared" si="16"/>
        <v>0</v>
      </c>
      <c r="H71" s="56">
        <f t="shared" si="17"/>
        <v>0</v>
      </c>
      <c r="I71" s="56" cm="1">
        <f t="array" ref="I71">_xlfn.IFS(Y71=$Z$4,F71,Y71=$Z$3,0,Y71=#REF!,0,Y71=$Z$2,F71-1)</f>
        <v>0</v>
      </c>
      <c r="J71" s="56" cm="1">
        <f t="array" ref="J71">_xlfn.IFS(Y71=$Z$4,F71,Y71=$Z$3,0,Y71=#REF!,0,Y71=$Z$2,F71-1)</f>
        <v>0</v>
      </c>
      <c r="K71" s="59">
        <v>0</v>
      </c>
      <c r="L71" s="10"/>
      <c r="M71" s="10"/>
      <c r="N71" s="10"/>
      <c r="O71" s="10"/>
      <c r="P71" s="49"/>
      <c r="Q71" s="22">
        <f t="shared" si="26"/>
        <v>0.16666666666666666</v>
      </c>
      <c r="R71" s="49">
        <v>0</v>
      </c>
      <c r="S71" s="22"/>
      <c r="T71" s="32">
        <f t="shared" si="25"/>
        <v>0</v>
      </c>
      <c r="U71" s="32">
        <f t="shared" si="21"/>
        <v>0</v>
      </c>
      <c r="V71" s="49" t="s">
        <v>122</v>
      </c>
      <c r="W71" s="141" t="s">
        <v>65</v>
      </c>
      <c r="Y71" s="1" t="s">
        <v>23</v>
      </c>
      <c r="Z71" s="13">
        <f t="shared" si="22"/>
        <v>1</v>
      </c>
      <c r="AA71" s="2">
        <f t="shared" si="23"/>
        <v>0</v>
      </c>
      <c r="AB71" s="2">
        <f t="shared" si="27"/>
        <v>0</v>
      </c>
    </row>
    <row r="72" spans="1:33" x14ac:dyDescent="0.35">
      <c r="A72" s="26">
        <f t="shared" si="24"/>
        <v>0</v>
      </c>
      <c r="B72" s="29" cm="1">
        <f t="array" ref="B72">_xlfn.IFS(Y72=$Z$2,IF(U72="","",IF(G72/F72=0,U72/Q72,G72/F72)),Y72=$Z$3,0,Y72=$Z$4,1)</f>
        <v>1</v>
      </c>
      <c r="C72" s="55">
        <f t="shared" si="11"/>
        <v>1</v>
      </c>
      <c r="D72" s="49"/>
      <c r="E72" s="10"/>
      <c r="F72" s="24">
        <f t="shared" si="20"/>
        <v>0</v>
      </c>
      <c r="G72" s="56">
        <f t="shared" si="16"/>
        <v>0</v>
      </c>
      <c r="H72" s="56">
        <f t="shared" si="17"/>
        <v>0</v>
      </c>
      <c r="I72" s="56" cm="1">
        <f t="array" ref="I72">_xlfn.IFS(Y72=$Z$4,F72,Y72=$Z$3,0,Y72=#REF!,0,Y72=$Z$2,F72-1)</f>
        <v>0</v>
      </c>
      <c r="J72" s="56" cm="1">
        <f t="array" ref="J72">_xlfn.IFS(Y72=$Z$4,F72,Y72=$Z$3,0,Y72=#REF!,0,Y72=$Z$2,F72-1)</f>
        <v>0</v>
      </c>
      <c r="K72" s="59">
        <v>0</v>
      </c>
      <c r="L72" s="10"/>
      <c r="M72" s="10"/>
      <c r="N72" s="10"/>
      <c r="O72" s="10"/>
      <c r="P72" s="49"/>
      <c r="Q72" s="22">
        <f t="shared" ref="Q72:Q108" si="28">(IF(D72="Q",F72*$O$1,IF(D72="O",F72*$O$2,F72*$O$3))*IF(F72&lt;$F$2,1,IF(F72&lt;$F$3,0.9,0.875)))+$F$1</f>
        <v>0.16666666666666666</v>
      </c>
      <c r="R72" s="49">
        <v>0</v>
      </c>
      <c r="S72" s="22"/>
      <c r="T72" s="32">
        <f t="shared" si="25"/>
        <v>0</v>
      </c>
      <c r="U72" s="32">
        <f t="shared" si="21"/>
        <v>0</v>
      </c>
      <c r="V72" s="49" t="s">
        <v>122</v>
      </c>
      <c r="W72" s="141" t="s">
        <v>65</v>
      </c>
      <c r="Y72" s="1" t="s">
        <v>23</v>
      </c>
      <c r="Z72" s="13">
        <f t="shared" si="22"/>
        <v>1</v>
      </c>
      <c r="AA72" s="2">
        <f t="shared" ref="AA72:AA108" si="29">IF(Y72=$Z$2,IF(B72="","",AB72*B72),AB72)</f>
        <v>0</v>
      </c>
      <c r="AB72" s="2">
        <f t="shared" ref="AB72:AB108" si="30">IF(Y72="LO",P72*B72,P72)</f>
        <v>0</v>
      </c>
    </row>
    <row r="73" spans="1:33" x14ac:dyDescent="0.35">
      <c r="A73" s="26">
        <f t="shared" si="24"/>
        <v>0</v>
      </c>
      <c r="B73" s="29" cm="1">
        <f t="array" ref="B73">_xlfn.IFS(Y73=$Z$2,IF(U73="","",IF(G73/F73=0,U73/Q73,G73/F73)),Y73=$Z$3,0,Y73=$Z$4,1)</f>
        <v>1</v>
      </c>
      <c r="C73" s="55">
        <f t="shared" si="11"/>
        <v>1</v>
      </c>
      <c r="D73" s="49"/>
      <c r="E73" s="10"/>
      <c r="F73" s="24">
        <f t="shared" si="20"/>
        <v>0</v>
      </c>
      <c r="G73" s="56">
        <f t="shared" si="16"/>
        <v>0</v>
      </c>
      <c r="H73" s="56">
        <f t="shared" si="17"/>
        <v>0</v>
      </c>
      <c r="I73" s="56" cm="1">
        <f t="array" ref="I73">_xlfn.IFS(Y73=$Z$4,F73,Y73=$Z$3,0,Y73=#REF!,0,Y73=$Z$2,F73-1)</f>
        <v>0</v>
      </c>
      <c r="J73" s="56" cm="1">
        <f t="array" ref="J73">_xlfn.IFS(Y73=$Z$4,F73,Y73=$Z$3,0,Y73=#REF!,0,Y73=$Z$2,F73-1)</f>
        <v>0</v>
      </c>
      <c r="K73" s="59">
        <v>0</v>
      </c>
      <c r="L73" s="10"/>
      <c r="M73" s="10"/>
      <c r="N73" s="10"/>
      <c r="O73" s="10"/>
      <c r="P73" s="49"/>
      <c r="Q73" s="22">
        <f t="shared" si="28"/>
        <v>0.16666666666666666</v>
      </c>
      <c r="R73" s="49">
        <v>0</v>
      </c>
      <c r="S73" s="22"/>
      <c r="T73" s="32">
        <f t="shared" ref="T73:T108" si="31">R73+S73</f>
        <v>0</v>
      </c>
      <c r="U73" s="32">
        <f t="shared" si="21"/>
        <v>0</v>
      </c>
      <c r="V73" s="49" t="s">
        <v>122</v>
      </c>
      <c r="W73" s="141" t="s">
        <v>65</v>
      </c>
      <c r="Y73" s="1" t="s">
        <v>23</v>
      </c>
      <c r="Z73" s="13">
        <f t="shared" si="22"/>
        <v>1</v>
      </c>
      <c r="AA73" s="2">
        <f t="shared" si="29"/>
        <v>0</v>
      </c>
      <c r="AB73" s="2">
        <f t="shared" si="30"/>
        <v>0</v>
      </c>
    </row>
    <row r="74" spans="1:33" x14ac:dyDescent="0.35">
      <c r="A74" s="26">
        <f t="shared" ref="A74:A108" si="32">A73</f>
        <v>0</v>
      </c>
      <c r="B74" s="29" cm="1">
        <f t="array" ref="B74">_xlfn.IFS(Y74=$Z$2,IF(U74="","",IF(G74/F74=0,U74/Q74,G74/F74)),Y74=$Z$3,0,Y74=$Z$4,1)</f>
        <v>1</v>
      </c>
      <c r="C74" s="55">
        <f t="shared" si="11"/>
        <v>1</v>
      </c>
      <c r="D74" s="49"/>
      <c r="E74" s="10"/>
      <c r="F74" s="24">
        <f t="shared" si="20"/>
        <v>0</v>
      </c>
      <c r="G74" s="56">
        <f t="shared" si="16"/>
        <v>0</v>
      </c>
      <c r="H74" s="56">
        <f t="shared" si="17"/>
        <v>0</v>
      </c>
      <c r="I74" s="56" cm="1">
        <f t="array" ref="I74">_xlfn.IFS(Y74=$Z$4,F74,Y74=$Z$3,0,Y74=#REF!,0,Y74=$Z$2,F74-1)</f>
        <v>0</v>
      </c>
      <c r="J74" s="56" cm="1">
        <f t="array" ref="J74">_xlfn.IFS(Y74=$Z$4,F74,Y74=$Z$3,0,Y74=#REF!,0,Y74=$Z$2,F74-1)</f>
        <v>0</v>
      </c>
      <c r="K74" s="59">
        <v>0</v>
      </c>
      <c r="L74" s="10"/>
      <c r="M74" s="10"/>
      <c r="N74" s="10"/>
      <c r="O74" s="10"/>
      <c r="P74" s="49"/>
      <c r="Q74" s="22">
        <f t="shared" si="28"/>
        <v>0.16666666666666666</v>
      </c>
      <c r="R74" s="49">
        <v>0</v>
      </c>
      <c r="S74" s="22"/>
      <c r="T74" s="32">
        <f t="shared" si="31"/>
        <v>0</v>
      </c>
      <c r="U74" s="32">
        <f t="shared" ref="U74:U108" si="33">IF(O74="Continued","",SUMIFS($T$8:$T$108,$E$8:$E$108,E74,$D$8:$D$108,D74))</f>
        <v>0</v>
      </c>
      <c r="V74" s="49" t="s">
        <v>122</v>
      </c>
      <c r="W74" s="141" t="s">
        <v>65</v>
      </c>
      <c r="Y74" s="1" t="s">
        <v>23</v>
      </c>
      <c r="Z74" s="13">
        <f t="shared" si="22"/>
        <v>1</v>
      </c>
      <c r="AA74" s="2">
        <f t="shared" si="29"/>
        <v>0</v>
      </c>
      <c r="AB74" s="2">
        <f t="shared" si="30"/>
        <v>0</v>
      </c>
    </row>
    <row r="75" spans="1:33" x14ac:dyDescent="0.35">
      <c r="A75" s="26">
        <f t="shared" si="32"/>
        <v>0</v>
      </c>
      <c r="B75" s="29" cm="1">
        <f t="array" ref="B75">_xlfn.IFS(Y75=$Z$2,IF(U75="","",IF(G75/F75=0,U75/Q75,G75/F75)),Y75=$Z$3,0,Y75=$Z$4,1)</f>
        <v>1</v>
      </c>
      <c r="C75" s="55">
        <f t="shared" ref="C75:C108" si="34">IF(AND(D74=D75,OR(E75=E74,Y75=$Z$3)),C74,IF(E75="","",C74+1))</f>
        <v>1</v>
      </c>
      <c r="D75" s="49"/>
      <c r="E75" s="10"/>
      <c r="F75" s="24">
        <f t="shared" si="20"/>
        <v>0</v>
      </c>
      <c r="G75" s="56">
        <f t="shared" si="16"/>
        <v>0</v>
      </c>
      <c r="H75" s="56">
        <f t="shared" si="17"/>
        <v>0</v>
      </c>
      <c r="I75" s="56" cm="1">
        <f t="array" ref="I75">_xlfn.IFS(Y75=$Z$4,F75,Y75=$Z$3,0,Y75=#REF!,0,Y75=$Z$2,F75-1)</f>
        <v>0</v>
      </c>
      <c r="J75" s="56" cm="1">
        <f t="array" ref="J75">_xlfn.IFS(Y75=$Z$4,F75,Y75=$Z$3,0,Y75=#REF!,0,Y75=$Z$2,F75-1)</f>
        <v>0</v>
      </c>
      <c r="K75" s="59">
        <v>0</v>
      </c>
      <c r="L75" s="10"/>
      <c r="M75" s="10"/>
      <c r="N75" s="10"/>
      <c r="O75" s="10"/>
      <c r="P75" s="49"/>
      <c r="Q75" s="22">
        <f t="shared" si="28"/>
        <v>0.16666666666666666</v>
      </c>
      <c r="R75" s="49">
        <v>0</v>
      </c>
      <c r="S75" s="22"/>
      <c r="T75" s="32">
        <f t="shared" si="31"/>
        <v>0</v>
      </c>
      <c r="U75" s="32">
        <f t="shared" si="33"/>
        <v>0</v>
      </c>
      <c r="V75" s="49" t="s">
        <v>122</v>
      </c>
      <c r="W75" s="141" t="s">
        <v>65</v>
      </c>
      <c r="Y75" s="1" t="s">
        <v>23</v>
      </c>
      <c r="Z75" s="13">
        <f t="shared" si="22"/>
        <v>1</v>
      </c>
      <c r="AA75" s="2">
        <f t="shared" si="29"/>
        <v>0</v>
      </c>
      <c r="AB75" s="2">
        <f t="shared" si="30"/>
        <v>0</v>
      </c>
    </row>
    <row r="76" spans="1:33" x14ac:dyDescent="0.35">
      <c r="A76" s="26">
        <f t="shared" si="32"/>
        <v>0</v>
      </c>
      <c r="B76" s="29" cm="1">
        <f t="array" ref="B76">_xlfn.IFS(Y76=$Z$2,IF(U76="","",IF(G76/F76=0,U76/Q76,G76/F76)),Y76=$Z$3,0,Y76=$Z$4,1)</f>
        <v>1</v>
      </c>
      <c r="C76" s="55">
        <f t="shared" si="34"/>
        <v>1</v>
      </c>
      <c r="D76" s="49"/>
      <c r="E76" s="10"/>
      <c r="F76" s="24">
        <f t="shared" si="20"/>
        <v>0</v>
      </c>
      <c r="G76" s="56">
        <f t="shared" si="16"/>
        <v>0</v>
      </c>
      <c r="H76" s="56">
        <f t="shared" si="17"/>
        <v>0</v>
      </c>
      <c r="I76" s="56" cm="1">
        <f t="array" ref="I76">_xlfn.IFS(Y76=$Z$4,F76,Y76=$Z$3,0,Y76=#REF!,0,Y76=$Z$2,F76-1)</f>
        <v>0</v>
      </c>
      <c r="J76" s="56" cm="1">
        <f t="array" ref="J76">_xlfn.IFS(Y76=$Z$4,F76,Y76=$Z$3,0,Y76=#REF!,0,Y76=$Z$2,F76-1)</f>
        <v>0</v>
      </c>
      <c r="K76" s="59">
        <v>0</v>
      </c>
      <c r="L76" s="10"/>
      <c r="M76" s="10"/>
      <c r="N76" s="10"/>
      <c r="O76" s="10"/>
      <c r="P76" s="49"/>
      <c r="Q76" s="22">
        <f t="shared" si="28"/>
        <v>0.16666666666666666</v>
      </c>
      <c r="R76" s="49">
        <v>0</v>
      </c>
      <c r="S76" s="22"/>
      <c r="T76" s="32">
        <f t="shared" si="31"/>
        <v>0</v>
      </c>
      <c r="U76" s="32">
        <f t="shared" si="33"/>
        <v>0</v>
      </c>
      <c r="V76" s="49" t="s">
        <v>122</v>
      </c>
      <c r="W76" s="141" t="s">
        <v>65</v>
      </c>
      <c r="Y76" s="1" t="s">
        <v>23</v>
      </c>
      <c r="Z76" s="13">
        <f t="shared" si="22"/>
        <v>1</v>
      </c>
      <c r="AA76" s="2">
        <f t="shared" si="29"/>
        <v>0</v>
      </c>
      <c r="AB76" s="2">
        <f t="shared" si="30"/>
        <v>0</v>
      </c>
    </row>
    <row r="77" spans="1:33" x14ac:dyDescent="0.35">
      <c r="A77" s="26">
        <f t="shared" si="32"/>
        <v>0</v>
      </c>
      <c r="B77" s="29" cm="1">
        <f t="array" ref="B77">_xlfn.IFS(Y77=$Z$2,IF(U77="","",IF(G77/F77=0,U77/Q77,G77/F77)),Y77=$Z$3,0,Y77=$Z$4,1)</f>
        <v>1</v>
      </c>
      <c r="C77" s="55">
        <f t="shared" si="34"/>
        <v>1</v>
      </c>
      <c r="D77" s="49"/>
      <c r="E77" s="10"/>
      <c r="F77" s="24">
        <f t="shared" si="20"/>
        <v>0</v>
      </c>
      <c r="G77" s="56">
        <f t="shared" ref="G77:G90" si="35">IF(O77="Continued","",F77)</f>
        <v>0</v>
      </c>
      <c r="H77" s="56">
        <f t="shared" ref="H77:H90" si="36">IF(O77="Continued","",F77)</f>
        <v>0</v>
      </c>
      <c r="I77" s="56" cm="1">
        <f t="array" ref="I77">_xlfn.IFS(Y77=$Z$4,F77,Y77=$Z$3,0,Y77=#REF!,0,Y77=$Z$2,F77-1)</f>
        <v>0</v>
      </c>
      <c r="J77" s="56" cm="1">
        <f t="array" ref="J77">_xlfn.IFS(Y77=$Z$4,F77,Y77=$Z$3,0,Y77=#REF!,0,Y77=$Z$2,F77-1)</f>
        <v>0</v>
      </c>
      <c r="K77" s="59">
        <v>0</v>
      </c>
      <c r="L77" s="10"/>
      <c r="M77" s="10"/>
      <c r="N77" s="10"/>
      <c r="O77" s="10"/>
      <c r="P77" s="49"/>
      <c r="Q77" s="22">
        <f t="shared" si="28"/>
        <v>0.16666666666666666</v>
      </c>
      <c r="R77" s="49">
        <v>0</v>
      </c>
      <c r="S77" s="22"/>
      <c r="T77" s="32">
        <f t="shared" si="31"/>
        <v>0</v>
      </c>
      <c r="U77" s="32">
        <f t="shared" si="33"/>
        <v>0</v>
      </c>
      <c r="V77" s="49" t="s">
        <v>122</v>
      </c>
      <c r="W77" s="141" t="s">
        <v>65</v>
      </c>
      <c r="Y77" s="1" t="s">
        <v>23</v>
      </c>
      <c r="Z77" s="13">
        <f t="shared" si="22"/>
        <v>1</v>
      </c>
      <c r="AA77" s="2">
        <f t="shared" si="29"/>
        <v>0</v>
      </c>
      <c r="AB77" s="2">
        <f t="shared" si="30"/>
        <v>0</v>
      </c>
    </row>
    <row r="78" spans="1:33" x14ac:dyDescent="0.35">
      <c r="A78" s="26">
        <f t="shared" si="32"/>
        <v>0</v>
      </c>
      <c r="B78" s="29" cm="1">
        <f t="array" ref="B78">_xlfn.IFS(Y78=$Z$2,IF(U78="","",IF(G78/F78=0,U78/Q78,G78/F78)),Y78=$Z$3,0,Y78=$Z$4,1)</f>
        <v>1</v>
      </c>
      <c r="C78" s="55">
        <f t="shared" si="34"/>
        <v>1</v>
      </c>
      <c r="D78" s="49"/>
      <c r="E78" s="10"/>
      <c r="F78" s="24">
        <f t="shared" si="20"/>
        <v>0</v>
      </c>
      <c r="G78" s="56">
        <f t="shared" si="35"/>
        <v>0</v>
      </c>
      <c r="H78" s="56">
        <f t="shared" si="36"/>
        <v>0</v>
      </c>
      <c r="I78" s="56" cm="1">
        <f t="array" ref="I78">_xlfn.IFS(Y78=$Z$4,F78,Y78=$Z$3,0,Y78=#REF!,0,Y78=$Z$2,F78-1)</f>
        <v>0</v>
      </c>
      <c r="J78" s="56" cm="1">
        <f t="array" ref="J78">_xlfn.IFS(Y78=$Z$4,F78,Y78=$Z$3,0,Y78=#REF!,0,Y78=$Z$2,F78-1)</f>
        <v>0</v>
      </c>
      <c r="K78" s="59">
        <v>0</v>
      </c>
      <c r="L78" s="10"/>
      <c r="M78" s="10"/>
      <c r="N78" s="10"/>
      <c r="O78" s="10"/>
      <c r="P78" s="49"/>
      <c r="Q78" s="22">
        <f t="shared" si="28"/>
        <v>0.16666666666666666</v>
      </c>
      <c r="R78" s="49">
        <v>0</v>
      </c>
      <c r="S78" s="22"/>
      <c r="T78" s="32">
        <f t="shared" si="31"/>
        <v>0</v>
      </c>
      <c r="U78" s="32">
        <f t="shared" si="33"/>
        <v>0</v>
      </c>
      <c r="V78" s="49" t="s">
        <v>122</v>
      </c>
      <c r="W78" s="141" t="s">
        <v>65</v>
      </c>
      <c r="Y78" s="1" t="s">
        <v>23</v>
      </c>
      <c r="Z78" s="13">
        <f t="shared" si="22"/>
        <v>1</v>
      </c>
      <c r="AA78" s="2">
        <f t="shared" si="29"/>
        <v>0</v>
      </c>
      <c r="AB78" s="2">
        <f t="shared" si="30"/>
        <v>0</v>
      </c>
    </row>
    <row r="79" spans="1:33" x14ac:dyDescent="0.35">
      <c r="A79" s="26">
        <f t="shared" si="32"/>
        <v>0</v>
      </c>
      <c r="B79" s="29" cm="1">
        <f t="array" ref="B79">_xlfn.IFS(Y79=$Z$2,IF(U79="","",IF(G79/F79=0,U79/Q79,G79/F79)),Y79=$Z$3,0,Y79=$Z$4,1)</f>
        <v>1</v>
      </c>
      <c r="C79" s="55">
        <f t="shared" si="34"/>
        <v>1</v>
      </c>
      <c r="D79" s="49"/>
      <c r="E79" s="10"/>
      <c r="F79" s="24">
        <f t="shared" si="20"/>
        <v>0</v>
      </c>
      <c r="G79" s="56">
        <f t="shared" si="35"/>
        <v>0</v>
      </c>
      <c r="H79" s="56">
        <f t="shared" si="36"/>
        <v>0</v>
      </c>
      <c r="I79" s="56" cm="1">
        <f t="array" ref="I79">_xlfn.IFS(Y79=$Z$4,F79,Y79=$Z$3,0,Y79=#REF!,0,Y79=$Z$2,F79-1)</f>
        <v>0</v>
      </c>
      <c r="J79" s="56" cm="1">
        <f t="array" ref="J79">_xlfn.IFS(Y79=$Z$4,F79,Y79=$Z$3,0,Y79=#REF!,0,Y79=$Z$2,F79-1)</f>
        <v>0</v>
      </c>
      <c r="K79" s="59">
        <v>0</v>
      </c>
      <c r="L79" s="10"/>
      <c r="M79" s="10"/>
      <c r="N79" s="10"/>
      <c r="O79" s="10"/>
      <c r="P79" s="49"/>
      <c r="Q79" s="22">
        <f t="shared" si="28"/>
        <v>0.16666666666666666</v>
      </c>
      <c r="R79" s="49">
        <v>0</v>
      </c>
      <c r="S79" s="22"/>
      <c r="T79" s="32">
        <f t="shared" si="31"/>
        <v>0</v>
      </c>
      <c r="U79" s="32">
        <f t="shared" si="33"/>
        <v>0</v>
      </c>
      <c r="V79" s="49" t="s">
        <v>122</v>
      </c>
      <c r="W79" s="141" t="s">
        <v>65</v>
      </c>
      <c r="Y79" s="1" t="s">
        <v>23</v>
      </c>
      <c r="Z79" s="13">
        <f t="shared" si="22"/>
        <v>1</v>
      </c>
      <c r="AA79" s="2">
        <f t="shared" si="29"/>
        <v>0</v>
      </c>
      <c r="AB79" s="2">
        <f t="shared" si="30"/>
        <v>0</v>
      </c>
    </row>
    <row r="80" spans="1:33" x14ac:dyDescent="0.35">
      <c r="A80" s="26">
        <f t="shared" si="32"/>
        <v>0</v>
      </c>
      <c r="B80" s="29" cm="1">
        <f t="array" ref="B80">_xlfn.IFS(Y80=$Z$2,IF(U80="","",IF(G80/F80=0,U80/Q80,G80/F80)),Y80=$Z$3,0,Y80=$Z$4,1)</f>
        <v>1</v>
      </c>
      <c r="C80" s="55">
        <f t="shared" si="34"/>
        <v>1</v>
      </c>
      <c r="D80" s="49"/>
      <c r="E80" s="10"/>
      <c r="F80" s="24">
        <f t="shared" si="20"/>
        <v>0</v>
      </c>
      <c r="G80" s="56">
        <f t="shared" si="35"/>
        <v>0</v>
      </c>
      <c r="H80" s="56">
        <f t="shared" si="36"/>
        <v>0</v>
      </c>
      <c r="I80" s="56" cm="1">
        <f t="array" ref="I80">_xlfn.IFS(Y80=$Z$4,F80,Y80=$Z$3,0,Y80=#REF!,0,Y80=$Z$2,F80-1)</f>
        <v>0</v>
      </c>
      <c r="J80" s="56" cm="1">
        <f t="array" ref="J80">_xlfn.IFS(Y80=$Z$4,F80,Y80=$Z$3,0,Y80=#REF!,0,Y80=$Z$2,F80-1)</f>
        <v>0</v>
      </c>
      <c r="K80" s="59">
        <v>0</v>
      </c>
      <c r="L80" s="10"/>
      <c r="M80" s="10"/>
      <c r="N80" s="10"/>
      <c r="O80" s="10"/>
      <c r="P80" s="49"/>
      <c r="Q80" s="22">
        <f t="shared" si="28"/>
        <v>0.16666666666666666</v>
      </c>
      <c r="R80" s="49">
        <v>0</v>
      </c>
      <c r="S80" s="22"/>
      <c r="T80" s="32">
        <f t="shared" si="31"/>
        <v>0</v>
      </c>
      <c r="U80" s="32">
        <f t="shared" si="33"/>
        <v>0</v>
      </c>
      <c r="V80" s="49" t="s">
        <v>122</v>
      </c>
      <c r="W80" s="141" t="s">
        <v>65</v>
      </c>
      <c r="Y80" s="1" t="s">
        <v>23</v>
      </c>
      <c r="Z80" s="13">
        <f t="shared" ref="Z80:Z108" si="37">IF(Q80="","",(Q80-T80)/Q80)</f>
        <v>1</v>
      </c>
      <c r="AA80" s="2">
        <f t="shared" si="29"/>
        <v>0</v>
      </c>
      <c r="AB80" s="2">
        <f t="shared" si="30"/>
        <v>0</v>
      </c>
    </row>
    <row r="81" spans="1:28" x14ac:dyDescent="0.35">
      <c r="A81" s="26">
        <f t="shared" si="32"/>
        <v>0</v>
      </c>
      <c r="B81" s="29" cm="1">
        <f t="array" ref="B81">_xlfn.IFS(Y81=$Z$2,IF(U81="","",IF(G81/F81=0,U81/Q81,G81/F81)),Y81=$Z$3,0,Y81=$Z$4,1)</f>
        <v>1</v>
      </c>
      <c r="C81" s="55">
        <f t="shared" si="34"/>
        <v>1</v>
      </c>
      <c r="D81" s="49"/>
      <c r="E81" s="10"/>
      <c r="F81" s="24">
        <f t="shared" si="20"/>
        <v>0</v>
      </c>
      <c r="G81" s="56">
        <f t="shared" si="35"/>
        <v>0</v>
      </c>
      <c r="H81" s="56">
        <f t="shared" si="36"/>
        <v>0</v>
      </c>
      <c r="I81" s="56" cm="1">
        <f t="array" ref="I81">_xlfn.IFS(Y81=$Z$4,F81,Y81=$Z$3,0,Y81=#REF!,0,Y81=$Z$2,F81-1)</f>
        <v>0</v>
      </c>
      <c r="J81" s="56" cm="1">
        <f t="array" ref="J81">_xlfn.IFS(Y81=$Z$4,F81,Y81=$Z$3,0,Y81=#REF!,0,Y81=$Z$2,F81-1)</f>
        <v>0</v>
      </c>
      <c r="K81" s="59">
        <v>0</v>
      </c>
      <c r="L81" s="10"/>
      <c r="M81" s="10"/>
      <c r="N81" s="10"/>
      <c r="O81" s="10"/>
      <c r="P81" s="49"/>
      <c r="Q81" s="22">
        <f t="shared" si="28"/>
        <v>0.16666666666666666</v>
      </c>
      <c r="R81" s="49">
        <v>0</v>
      </c>
      <c r="S81" s="22"/>
      <c r="T81" s="32">
        <f t="shared" si="31"/>
        <v>0</v>
      </c>
      <c r="U81" s="32">
        <f t="shared" si="33"/>
        <v>0</v>
      </c>
      <c r="V81" s="49" t="s">
        <v>122</v>
      </c>
      <c r="W81" s="141" t="s">
        <v>65</v>
      </c>
      <c r="Y81" s="1" t="s">
        <v>23</v>
      </c>
      <c r="Z81" s="13">
        <f t="shared" si="37"/>
        <v>1</v>
      </c>
      <c r="AA81" s="2">
        <f t="shared" si="29"/>
        <v>0</v>
      </c>
      <c r="AB81" s="2">
        <f t="shared" si="30"/>
        <v>0</v>
      </c>
    </row>
    <row r="82" spans="1:28" x14ac:dyDescent="0.35">
      <c r="A82" s="26">
        <f t="shared" si="32"/>
        <v>0</v>
      </c>
      <c r="B82" s="29" cm="1">
        <f t="array" ref="B82">_xlfn.IFS(Y82=$Z$2,IF(U82="","",IF(G82/F82=0,U82/Q82,G82/F82)),Y82=$Z$3,0,Y82=$Z$4,1)</f>
        <v>1</v>
      </c>
      <c r="C82" s="55">
        <f t="shared" si="34"/>
        <v>1</v>
      </c>
      <c r="D82" s="49"/>
      <c r="E82" s="10"/>
      <c r="F82" s="24">
        <f t="shared" si="20"/>
        <v>0</v>
      </c>
      <c r="G82" s="56">
        <f t="shared" si="35"/>
        <v>0</v>
      </c>
      <c r="H82" s="56">
        <f t="shared" si="36"/>
        <v>0</v>
      </c>
      <c r="I82" s="56" cm="1">
        <f t="array" ref="I82">_xlfn.IFS(Y82=$Z$4,F82,Y82=$Z$3,0,Y82=#REF!,0,Y82=$Z$2,F82-1)</f>
        <v>0</v>
      </c>
      <c r="J82" s="56" cm="1">
        <f t="array" ref="J82">_xlfn.IFS(Y82=$Z$4,F82,Y82=$Z$3,0,Y82=#REF!,0,Y82=$Z$2,F82-1)</f>
        <v>0</v>
      </c>
      <c r="K82" s="59">
        <v>0</v>
      </c>
      <c r="L82" s="10"/>
      <c r="M82" s="10"/>
      <c r="N82" s="10"/>
      <c r="O82" s="10"/>
      <c r="P82" s="49"/>
      <c r="Q82" s="22">
        <f t="shared" si="28"/>
        <v>0.16666666666666666</v>
      </c>
      <c r="R82" s="49">
        <v>0</v>
      </c>
      <c r="S82" s="22"/>
      <c r="T82" s="32">
        <f t="shared" si="31"/>
        <v>0</v>
      </c>
      <c r="U82" s="32">
        <f t="shared" si="33"/>
        <v>0</v>
      </c>
      <c r="V82" s="49" t="s">
        <v>122</v>
      </c>
      <c r="W82" s="141" t="s">
        <v>65</v>
      </c>
      <c r="Y82" s="1" t="s">
        <v>23</v>
      </c>
      <c r="Z82" s="13">
        <f t="shared" si="37"/>
        <v>1</v>
      </c>
      <c r="AA82" s="2">
        <f t="shared" si="29"/>
        <v>0</v>
      </c>
      <c r="AB82" s="2">
        <f t="shared" si="30"/>
        <v>0</v>
      </c>
    </row>
    <row r="83" spans="1:28" x14ac:dyDescent="0.35">
      <c r="A83" s="26">
        <f t="shared" si="32"/>
        <v>0</v>
      </c>
      <c r="B83" s="29" cm="1">
        <f t="array" ref="B83">_xlfn.IFS(Y83=$Z$2,IF(U83="","",IF(G83/F83=0,U83/Q83,G83/F83)),Y83=$Z$3,0,Y83=$Z$4,1)</f>
        <v>1</v>
      </c>
      <c r="C83" s="55">
        <f t="shared" si="34"/>
        <v>1</v>
      </c>
      <c r="D83" s="49"/>
      <c r="E83" s="46"/>
      <c r="F83" s="24">
        <f t="shared" si="20"/>
        <v>0</v>
      </c>
      <c r="G83" s="56">
        <f t="shared" si="35"/>
        <v>0</v>
      </c>
      <c r="H83" s="56">
        <f t="shared" si="36"/>
        <v>0</v>
      </c>
      <c r="I83" s="56" cm="1">
        <f t="array" ref="I83">_xlfn.IFS(Y83=$Z$4,F83,Y83=$Z$3,0,Y83=#REF!,0,Y83=$Z$2,F83-1)</f>
        <v>0</v>
      </c>
      <c r="J83" s="56" cm="1">
        <f t="array" ref="J83">_xlfn.IFS(Y83=$Z$4,F83,Y83=$Z$3,0,Y83=#REF!,0,Y83=$Z$2,F83-1)</f>
        <v>0</v>
      </c>
      <c r="K83" s="59">
        <v>0</v>
      </c>
      <c r="L83" s="46"/>
      <c r="M83" s="10"/>
      <c r="N83" s="46"/>
      <c r="O83" s="46"/>
      <c r="P83" s="49"/>
      <c r="Q83" s="22">
        <f t="shared" si="28"/>
        <v>0.16666666666666666</v>
      </c>
      <c r="R83" s="49">
        <v>0</v>
      </c>
      <c r="S83" s="47"/>
      <c r="T83" s="32">
        <f t="shared" si="31"/>
        <v>0</v>
      </c>
      <c r="U83" s="32">
        <f t="shared" si="33"/>
        <v>0</v>
      </c>
      <c r="V83" s="49" t="s">
        <v>122</v>
      </c>
      <c r="W83" s="141" t="s">
        <v>65</v>
      </c>
      <c r="Y83" s="1" t="s">
        <v>23</v>
      </c>
      <c r="Z83" s="13">
        <f t="shared" si="37"/>
        <v>1</v>
      </c>
      <c r="AA83" s="2">
        <f t="shared" si="29"/>
        <v>0</v>
      </c>
      <c r="AB83" s="2">
        <f t="shared" si="30"/>
        <v>0</v>
      </c>
    </row>
    <row r="84" spans="1:28" x14ac:dyDescent="0.35">
      <c r="A84" s="26">
        <f t="shared" si="32"/>
        <v>0</v>
      </c>
      <c r="B84" s="29" cm="1">
        <f t="array" ref="B84">_xlfn.IFS(Y84=$Z$2,IF(U84="","",IF(G84/F84=0,U84/Q84,G84/F84)),Y84=$Z$3,0,Y84=$Z$4,1)</f>
        <v>1</v>
      </c>
      <c r="C84" s="55">
        <f t="shared" si="34"/>
        <v>1</v>
      </c>
      <c r="D84" s="49"/>
      <c r="E84" s="46"/>
      <c r="F84" s="24">
        <f t="shared" si="20"/>
        <v>0</v>
      </c>
      <c r="G84" s="56">
        <f t="shared" si="35"/>
        <v>0</v>
      </c>
      <c r="H84" s="56">
        <f t="shared" si="36"/>
        <v>0</v>
      </c>
      <c r="I84" s="56" cm="1">
        <f t="array" ref="I84">_xlfn.IFS(Y84=$Z$4,F84,Y84=$Z$3,0,Y84=#REF!,0,Y84=$Z$2,F84-1)</f>
        <v>0</v>
      </c>
      <c r="J84" s="56" cm="1">
        <f t="array" ref="J84">_xlfn.IFS(Y84=$Z$4,F84,Y84=$Z$3,0,Y84=#REF!,0,Y84=$Z$2,F84-1)</f>
        <v>0</v>
      </c>
      <c r="K84" s="59">
        <v>0</v>
      </c>
      <c r="L84" s="46"/>
      <c r="M84" s="10"/>
      <c r="N84" s="46"/>
      <c r="O84" s="46"/>
      <c r="P84" s="49"/>
      <c r="Q84" s="22">
        <f t="shared" si="28"/>
        <v>0.16666666666666666</v>
      </c>
      <c r="R84" s="49">
        <v>0</v>
      </c>
      <c r="S84" s="47"/>
      <c r="T84" s="32">
        <f t="shared" si="31"/>
        <v>0</v>
      </c>
      <c r="U84" s="32">
        <f t="shared" si="33"/>
        <v>0</v>
      </c>
      <c r="V84" s="49" t="s">
        <v>122</v>
      </c>
      <c r="W84" s="141" t="s">
        <v>65</v>
      </c>
      <c r="Y84" s="1" t="s">
        <v>23</v>
      </c>
      <c r="Z84" s="13">
        <f t="shared" si="37"/>
        <v>1</v>
      </c>
      <c r="AA84" s="2">
        <f t="shared" si="29"/>
        <v>0</v>
      </c>
      <c r="AB84" s="2">
        <f t="shared" si="30"/>
        <v>0</v>
      </c>
    </row>
    <row r="85" spans="1:28" x14ac:dyDescent="0.35">
      <c r="A85" s="26">
        <f t="shared" si="32"/>
        <v>0</v>
      </c>
      <c r="B85" s="29" cm="1">
        <f t="array" ref="B85">_xlfn.IFS(Y85=$Z$2,IF(U85="","",IF(G85/F85=0,U85/Q85,G85/F85)),Y85=$Z$3,0,Y85=$Z$4,1)</f>
        <v>1</v>
      </c>
      <c r="C85" s="55">
        <f t="shared" si="34"/>
        <v>1</v>
      </c>
      <c r="D85" s="49"/>
      <c r="E85" s="46"/>
      <c r="F85" s="24">
        <f t="shared" si="20"/>
        <v>0</v>
      </c>
      <c r="G85" s="56">
        <f t="shared" si="35"/>
        <v>0</v>
      </c>
      <c r="H85" s="56">
        <f t="shared" si="36"/>
        <v>0</v>
      </c>
      <c r="I85" s="56" cm="1">
        <f t="array" ref="I85">_xlfn.IFS(Y85=$Z$4,F85,Y85=$Z$3,0,Y85=#REF!,0,Y85=$Z$2,F85-1)</f>
        <v>0</v>
      </c>
      <c r="J85" s="56" cm="1">
        <f t="array" ref="J85">_xlfn.IFS(Y85=$Z$4,F85,Y85=$Z$3,0,Y85=#REF!,0,Y85=$Z$2,F85-1)</f>
        <v>0</v>
      </c>
      <c r="K85" s="59">
        <v>0</v>
      </c>
      <c r="L85" s="46"/>
      <c r="M85" s="10"/>
      <c r="N85" s="46"/>
      <c r="O85" s="46"/>
      <c r="P85" s="49"/>
      <c r="Q85" s="22">
        <f t="shared" si="28"/>
        <v>0.16666666666666666</v>
      </c>
      <c r="R85" s="49">
        <v>0</v>
      </c>
      <c r="S85" s="47"/>
      <c r="T85" s="32">
        <f t="shared" si="31"/>
        <v>0</v>
      </c>
      <c r="U85" s="32">
        <f t="shared" si="33"/>
        <v>0</v>
      </c>
      <c r="V85" s="49" t="s">
        <v>122</v>
      </c>
      <c r="W85" s="141" t="s">
        <v>65</v>
      </c>
      <c r="Y85" s="1" t="s">
        <v>23</v>
      </c>
      <c r="Z85" s="13">
        <f t="shared" si="37"/>
        <v>1</v>
      </c>
      <c r="AA85" s="2">
        <f t="shared" si="29"/>
        <v>0</v>
      </c>
      <c r="AB85" s="2">
        <f t="shared" si="30"/>
        <v>0</v>
      </c>
    </row>
    <row r="86" spans="1:28" x14ac:dyDescent="0.35">
      <c r="A86" s="26">
        <f t="shared" si="32"/>
        <v>0</v>
      </c>
      <c r="B86" s="29" cm="1">
        <f t="array" ref="B86">_xlfn.IFS(Y86=$Z$2,IF(U86="","",IF(G86/F86=0,U86/Q86,G86/F86)),Y86=$Z$3,0,Y86=$Z$4,1)</f>
        <v>1</v>
      </c>
      <c r="C86" s="55">
        <f t="shared" si="34"/>
        <v>1</v>
      </c>
      <c r="D86" s="49"/>
      <c r="E86" s="46"/>
      <c r="F86" s="24">
        <f t="shared" si="20"/>
        <v>0</v>
      </c>
      <c r="G86" s="56">
        <f t="shared" si="35"/>
        <v>0</v>
      </c>
      <c r="H86" s="56">
        <f t="shared" si="36"/>
        <v>0</v>
      </c>
      <c r="I86" s="56" cm="1">
        <f t="array" ref="I86">_xlfn.IFS(Y86=$Z$4,F86,Y86=$Z$3,0,Y86=#REF!,0,Y86=$Z$2,F86-1)</f>
        <v>0</v>
      </c>
      <c r="J86" s="56" cm="1">
        <f t="array" ref="J86">_xlfn.IFS(Y86=$Z$4,F86,Y86=$Z$3,0,Y86=#REF!,0,Y86=$Z$2,F86-1)</f>
        <v>0</v>
      </c>
      <c r="K86" s="59">
        <v>0</v>
      </c>
      <c r="L86" s="46"/>
      <c r="M86" s="10"/>
      <c r="N86" s="46"/>
      <c r="O86" s="46"/>
      <c r="P86" s="49"/>
      <c r="Q86" s="22">
        <f t="shared" si="28"/>
        <v>0.16666666666666666</v>
      </c>
      <c r="R86" s="49">
        <v>0</v>
      </c>
      <c r="S86" s="47"/>
      <c r="T86" s="32">
        <f t="shared" si="31"/>
        <v>0</v>
      </c>
      <c r="U86" s="32">
        <f t="shared" si="33"/>
        <v>0</v>
      </c>
      <c r="V86" s="49" t="s">
        <v>122</v>
      </c>
      <c r="W86" s="141" t="s">
        <v>65</v>
      </c>
      <c r="Y86" s="1" t="s">
        <v>23</v>
      </c>
      <c r="Z86" s="13">
        <f t="shared" si="37"/>
        <v>1</v>
      </c>
      <c r="AA86" s="2">
        <f t="shared" si="29"/>
        <v>0</v>
      </c>
      <c r="AB86" s="2">
        <f t="shared" si="30"/>
        <v>0</v>
      </c>
    </row>
    <row r="87" spans="1:28" x14ac:dyDescent="0.35">
      <c r="A87" s="26">
        <f t="shared" si="32"/>
        <v>0</v>
      </c>
      <c r="B87" s="29" cm="1">
        <f t="array" ref="B87">_xlfn.IFS(Y87=$Z$2,IF(U87="","",IF(G87/F87=0,U87/Q87,G87/F87)),Y87=$Z$3,0,Y87=$Z$4,1)</f>
        <v>1</v>
      </c>
      <c r="C87" s="55">
        <f t="shared" si="34"/>
        <v>1</v>
      </c>
      <c r="D87" s="49"/>
      <c r="E87" s="46"/>
      <c r="F87" s="24">
        <f t="shared" si="20"/>
        <v>0</v>
      </c>
      <c r="G87" s="56">
        <f t="shared" si="35"/>
        <v>0</v>
      </c>
      <c r="H87" s="56">
        <f t="shared" si="36"/>
        <v>0</v>
      </c>
      <c r="I87" s="56" cm="1">
        <f t="array" ref="I87">_xlfn.IFS(Y87=$Z$4,F87,Y87=$Z$3,0,Y87=#REF!,0,Y87=$Z$2,F87-1)</f>
        <v>0</v>
      </c>
      <c r="J87" s="56" cm="1">
        <f t="array" ref="J87">_xlfn.IFS(Y87=$Z$4,F87,Y87=$Z$3,0,Y87=#REF!,0,Y87=$Z$2,F87-1)</f>
        <v>0</v>
      </c>
      <c r="K87" s="59">
        <v>0</v>
      </c>
      <c r="L87" s="46"/>
      <c r="M87" s="46"/>
      <c r="N87" s="46"/>
      <c r="O87" s="46"/>
      <c r="P87" s="49"/>
      <c r="Q87" s="22">
        <f t="shared" si="28"/>
        <v>0.16666666666666666</v>
      </c>
      <c r="R87" s="49">
        <v>0</v>
      </c>
      <c r="S87" s="47"/>
      <c r="T87" s="32">
        <f t="shared" si="31"/>
        <v>0</v>
      </c>
      <c r="U87" s="32">
        <f t="shared" si="33"/>
        <v>0</v>
      </c>
      <c r="V87" s="49" t="s">
        <v>122</v>
      </c>
      <c r="W87" s="141" t="s">
        <v>65</v>
      </c>
      <c r="Y87" s="1" t="s">
        <v>23</v>
      </c>
      <c r="Z87" s="13">
        <f t="shared" si="37"/>
        <v>1</v>
      </c>
      <c r="AA87" s="2">
        <f t="shared" si="29"/>
        <v>0</v>
      </c>
      <c r="AB87" s="2">
        <f t="shared" si="30"/>
        <v>0</v>
      </c>
    </row>
    <row r="88" spans="1:28" x14ac:dyDescent="0.35">
      <c r="A88" s="26">
        <f t="shared" si="32"/>
        <v>0</v>
      </c>
      <c r="B88" s="29" cm="1">
        <f t="array" ref="B88">_xlfn.IFS(Y88=$Z$2,IF(U88="","",IF(G88/F88=0,U88/Q88,G88/F88)),Y88=$Z$3,0,Y88=$Z$4,1)</f>
        <v>1</v>
      </c>
      <c r="C88" s="55">
        <f t="shared" si="34"/>
        <v>1</v>
      </c>
      <c r="D88" s="49"/>
      <c r="E88" s="46"/>
      <c r="F88" s="24">
        <f t="shared" si="20"/>
        <v>0</v>
      </c>
      <c r="G88" s="56">
        <f t="shared" si="35"/>
        <v>0</v>
      </c>
      <c r="H88" s="56">
        <f t="shared" si="36"/>
        <v>0</v>
      </c>
      <c r="I88" s="56" cm="1">
        <f t="array" ref="I88">_xlfn.IFS(Y88=$Z$4,F88,Y88=$Z$3,0,Y88=#REF!,0,Y88=$Z$2,F88-1)</f>
        <v>0</v>
      </c>
      <c r="J88" s="56" cm="1">
        <f t="array" ref="J88">_xlfn.IFS(Y88=$Z$4,F88,Y88=$Z$3,0,Y88=#REF!,0,Y88=$Z$2,F88-1)</f>
        <v>0</v>
      </c>
      <c r="K88" s="59">
        <v>0</v>
      </c>
      <c r="L88" s="46"/>
      <c r="M88" s="46"/>
      <c r="N88" s="46"/>
      <c r="O88" s="46"/>
      <c r="P88" s="49"/>
      <c r="Q88" s="22">
        <f t="shared" si="28"/>
        <v>0.16666666666666666</v>
      </c>
      <c r="R88" s="49">
        <v>0</v>
      </c>
      <c r="S88" s="47"/>
      <c r="T88" s="32">
        <f t="shared" si="31"/>
        <v>0</v>
      </c>
      <c r="U88" s="32">
        <f t="shared" si="33"/>
        <v>0</v>
      </c>
      <c r="V88" s="49" t="s">
        <v>122</v>
      </c>
      <c r="W88" s="141" t="s">
        <v>65</v>
      </c>
      <c r="Y88" s="1" t="s">
        <v>23</v>
      </c>
      <c r="Z88" s="13">
        <f t="shared" si="37"/>
        <v>1</v>
      </c>
      <c r="AA88" s="2">
        <f t="shared" si="29"/>
        <v>0</v>
      </c>
      <c r="AB88" s="2">
        <f t="shared" si="30"/>
        <v>0</v>
      </c>
    </row>
    <row r="89" spans="1:28" x14ac:dyDescent="0.35">
      <c r="A89" s="26">
        <f t="shared" si="32"/>
        <v>0</v>
      </c>
      <c r="B89" s="29" cm="1">
        <f t="array" ref="B89">_xlfn.IFS(Y89=$Z$2,IF(U89="","",IF(G89/F89=0,U89/Q89,G89/F89)),Y89=$Z$3,0,Y89=$Z$4,1)</f>
        <v>1</v>
      </c>
      <c r="C89" s="55">
        <f t="shared" si="34"/>
        <v>1</v>
      </c>
      <c r="D89" s="49"/>
      <c r="E89" s="46"/>
      <c r="F89" s="24">
        <f t="shared" si="20"/>
        <v>0</v>
      </c>
      <c r="G89" s="56">
        <f t="shared" si="35"/>
        <v>0</v>
      </c>
      <c r="H89" s="56">
        <f t="shared" si="36"/>
        <v>0</v>
      </c>
      <c r="I89" s="56" cm="1">
        <f t="array" ref="I89">_xlfn.IFS(Y89=$Z$4,F89,Y89=$Z$3,0,Y89=#REF!,0,Y89=$Z$2,F89-1)</f>
        <v>0</v>
      </c>
      <c r="J89" s="56" cm="1">
        <f t="array" ref="J89">_xlfn.IFS(Y89=$Z$4,F89,Y89=$Z$3,0,Y89=#REF!,0,Y89=$Z$2,F89-1)</f>
        <v>0</v>
      </c>
      <c r="K89" s="59">
        <v>0</v>
      </c>
      <c r="L89" s="46"/>
      <c r="M89" s="46"/>
      <c r="N89" s="46"/>
      <c r="O89" s="46"/>
      <c r="P89" s="49"/>
      <c r="Q89" s="22">
        <f t="shared" si="28"/>
        <v>0.16666666666666666</v>
      </c>
      <c r="R89" s="49">
        <v>0</v>
      </c>
      <c r="S89" s="47"/>
      <c r="T89" s="32">
        <f t="shared" si="31"/>
        <v>0</v>
      </c>
      <c r="U89" s="32">
        <f t="shared" si="33"/>
        <v>0</v>
      </c>
      <c r="V89" s="49" t="s">
        <v>122</v>
      </c>
      <c r="W89" s="141" t="s">
        <v>65</v>
      </c>
      <c r="Y89" s="1" t="s">
        <v>23</v>
      </c>
      <c r="Z89" s="13">
        <f t="shared" si="37"/>
        <v>1</v>
      </c>
      <c r="AA89" s="2">
        <f t="shared" si="29"/>
        <v>0</v>
      </c>
      <c r="AB89" s="2">
        <f t="shared" si="30"/>
        <v>0</v>
      </c>
    </row>
    <row r="90" spans="1:28" x14ac:dyDescent="0.35">
      <c r="A90" s="26">
        <f t="shared" si="32"/>
        <v>0</v>
      </c>
      <c r="B90" s="29" cm="1">
        <f t="array" ref="B90">_xlfn.IFS(Y90=$Z$2,IF(U90="","",IF(G90/F90=0,U90/Q90,G90/F90)),Y90=$Z$3,0,Y90=$Z$4,1)</f>
        <v>1</v>
      </c>
      <c r="C90" s="55">
        <f t="shared" si="34"/>
        <v>1</v>
      </c>
      <c r="D90" s="49"/>
      <c r="E90" s="46"/>
      <c r="F90" s="24">
        <f t="shared" si="20"/>
        <v>0</v>
      </c>
      <c r="G90" s="56">
        <f t="shared" si="35"/>
        <v>0</v>
      </c>
      <c r="H90" s="56">
        <f t="shared" si="36"/>
        <v>0</v>
      </c>
      <c r="I90" s="56" cm="1">
        <f t="array" ref="I90">_xlfn.IFS(Y90=$Z$4,F90,Y90=$Z$3,0,Y90=#REF!,0,Y90=$Z$2,F90-1)</f>
        <v>0</v>
      </c>
      <c r="J90" s="56" cm="1">
        <f t="array" ref="J90">_xlfn.IFS(Y90=$Z$4,F90,Y90=$Z$3,0,Y90=#REF!,0,Y90=$Z$2,F90-1)</f>
        <v>0</v>
      </c>
      <c r="K90" s="59">
        <v>0</v>
      </c>
      <c r="L90" s="46"/>
      <c r="M90" s="46"/>
      <c r="N90" s="46"/>
      <c r="O90" s="46"/>
      <c r="P90" s="49"/>
      <c r="Q90" s="22">
        <f t="shared" si="28"/>
        <v>0.16666666666666666</v>
      </c>
      <c r="R90" s="49">
        <v>0</v>
      </c>
      <c r="S90" s="47"/>
      <c r="T90" s="32">
        <f t="shared" si="31"/>
        <v>0</v>
      </c>
      <c r="U90" s="32">
        <f t="shared" si="33"/>
        <v>0</v>
      </c>
      <c r="V90" s="49" t="s">
        <v>122</v>
      </c>
      <c r="W90" s="141" t="s">
        <v>65</v>
      </c>
      <c r="Y90" s="1" t="s">
        <v>23</v>
      </c>
      <c r="Z90" s="13">
        <f t="shared" si="37"/>
        <v>1</v>
      </c>
      <c r="AA90" s="2">
        <f t="shared" si="29"/>
        <v>0</v>
      </c>
      <c r="AB90" s="2">
        <f t="shared" si="30"/>
        <v>0</v>
      </c>
    </row>
    <row r="91" spans="1:28" x14ac:dyDescent="0.35">
      <c r="A91" s="26">
        <f t="shared" si="32"/>
        <v>0</v>
      </c>
      <c r="B91" s="29" cm="1">
        <f t="array" ref="B91">_xlfn.IFS(Y91=$Z$2,IF(U91="","",IF(G91/F91=0,U91/Q91,G91/F91)),Y91=$Z$3,0,Y91=$Z$4,1)</f>
        <v>1</v>
      </c>
      <c r="C91" s="55">
        <f t="shared" si="34"/>
        <v>1</v>
      </c>
      <c r="D91" s="49"/>
      <c r="E91" s="46"/>
      <c r="F91" s="24">
        <f t="shared" ref="F83:F108" si="38">IF(E91=E90,F90,0)</f>
        <v>0</v>
      </c>
      <c r="G91" s="56">
        <f t="shared" ref="G77:G108" si="39">IF(O91="Continued","",F91)</f>
        <v>0</v>
      </c>
      <c r="H91" s="56">
        <f t="shared" ref="H77:H108" si="40">IF(O91="Continued","",F91)</f>
        <v>0</v>
      </c>
      <c r="I91" s="56" cm="1">
        <f t="array" ref="I91">_xlfn.IFS(Y91=$Z$4,F91,Y91=$Z$3,0,Y91=#REF!,0,Y91=$Z$2,F91-1)</f>
        <v>0</v>
      </c>
      <c r="J91" s="56" cm="1">
        <f t="array" ref="J91">_xlfn.IFS(Y91=$Z$4,F91,Y91=$Z$3,0,Y91=#REF!,0,Y91=$Z$2,F91-1)</f>
        <v>0</v>
      </c>
      <c r="K91" s="59">
        <v>0</v>
      </c>
      <c r="L91" s="46"/>
      <c r="M91" s="46"/>
      <c r="N91" s="46"/>
      <c r="O91" s="46"/>
      <c r="P91" s="49"/>
      <c r="Q91" s="22">
        <f t="shared" si="28"/>
        <v>0.16666666666666666</v>
      </c>
      <c r="R91" s="49">
        <v>0</v>
      </c>
      <c r="S91" s="47"/>
      <c r="T91" s="32">
        <f t="shared" si="31"/>
        <v>0</v>
      </c>
      <c r="U91" s="32">
        <f t="shared" si="33"/>
        <v>0</v>
      </c>
      <c r="V91" s="49" t="s">
        <v>122</v>
      </c>
      <c r="W91" s="141" t="s">
        <v>65</v>
      </c>
      <c r="Y91" s="1" t="s">
        <v>23</v>
      </c>
      <c r="Z91" s="13">
        <f t="shared" si="37"/>
        <v>1</v>
      </c>
      <c r="AA91" s="2">
        <f t="shared" si="29"/>
        <v>0</v>
      </c>
      <c r="AB91" s="2">
        <f t="shared" si="30"/>
        <v>0</v>
      </c>
    </row>
    <row r="92" spans="1:28" x14ac:dyDescent="0.35">
      <c r="A92" s="26">
        <f t="shared" si="32"/>
        <v>0</v>
      </c>
      <c r="B92" s="29" cm="1">
        <f t="array" ref="B92">_xlfn.IFS(Y92=$Z$2,IF(U92="","",IF(G92/F92=0,U92/Q92,G92/F92)),Y92=$Z$3,0,Y92=$Z$4,1)</f>
        <v>1</v>
      </c>
      <c r="C92" s="55">
        <f t="shared" si="34"/>
        <v>1</v>
      </c>
      <c r="D92" s="49"/>
      <c r="E92" s="46"/>
      <c r="F92" s="24">
        <f t="shared" si="38"/>
        <v>0</v>
      </c>
      <c r="G92" s="56">
        <f t="shared" si="39"/>
        <v>0</v>
      </c>
      <c r="H92" s="56">
        <f t="shared" si="40"/>
        <v>0</v>
      </c>
      <c r="I92" s="56" cm="1">
        <f t="array" ref="I92">_xlfn.IFS(Y92=$Z$4,F92,Y92=$Z$3,0,Y92=#REF!,0,Y92=$Z$2,F92-1)</f>
        <v>0</v>
      </c>
      <c r="J92" s="56" cm="1">
        <f t="array" ref="J92">_xlfn.IFS(Y92=$Z$4,F92,Y92=$Z$3,0,Y92=#REF!,0,Y92=$Z$2,F92-1)</f>
        <v>0</v>
      </c>
      <c r="K92" s="59">
        <v>0</v>
      </c>
      <c r="L92" s="46"/>
      <c r="M92" s="46"/>
      <c r="N92" s="46"/>
      <c r="O92" s="46"/>
      <c r="P92" s="46"/>
      <c r="Q92" s="22">
        <f t="shared" si="28"/>
        <v>0.16666666666666666</v>
      </c>
      <c r="R92" s="49">
        <v>0</v>
      </c>
      <c r="S92" s="47"/>
      <c r="T92" s="32">
        <f t="shared" si="31"/>
        <v>0</v>
      </c>
      <c r="U92" s="32">
        <f t="shared" si="33"/>
        <v>0</v>
      </c>
      <c r="V92" s="49" t="s">
        <v>122</v>
      </c>
      <c r="W92" s="141" t="s">
        <v>65</v>
      </c>
      <c r="Y92" s="1" t="s">
        <v>23</v>
      </c>
      <c r="Z92" s="13">
        <f t="shared" si="37"/>
        <v>1</v>
      </c>
      <c r="AA92" s="2">
        <f t="shared" si="29"/>
        <v>0</v>
      </c>
      <c r="AB92" s="2">
        <f t="shared" si="30"/>
        <v>0</v>
      </c>
    </row>
    <row r="93" spans="1:28" x14ac:dyDescent="0.35">
      <c r="A93" s="26">
        <f t="shared" si="32"/>
        <v>0</v>
      </c>
      <c r="B93" s="29" cm="1">
        <f t="array" ref="B93">_xlfn.IFS(Y93=$Z$2,IF(U93="","",IF(G93/F93=0,U93/Q93,G93/F93)),Y93=$Z$3,0,Y93=$Z$4,1)</f>
        <v>1</v>
      </c>
      <c r="C93" s="55">
        <f t="shared" si="34"/>
        <v>1</v>
      </c>
      <c r="D93" s="49"/>
      <c r="E93" s="46"/>
      <c r="F93" s="24">
        <f t="shared" si="38"/>
        <v>0</v>
      </c>
      <c r="G93" s="56">
        <f t="shared" si="39"/>
        <v>0</v>
      </c>
      <c r="H93" s="56">
        <f t="shared" si="40"/>
        <v>0</v>
      </c>
      <c r="I93" s="56" cm="1">
        <f t="array" ref="I93">_xlfn.IFS(Y93=$Z$4,F93,Y93=$Z$3,0,Y93=#REF!,0,Y93=$Z$2,F93-1)</f>
        <v>0</v>
      </c>
      <c r="J93" s="56" cm="1">
        <f t="array" ref="J93">_xlfn.IFS(Y93=$Z$4,F93,Y93=$Z$3,0,Y93=#REF!,0,Y93=$Z$2,F93-1)</f>
        <v>0</v>
      </c>
      <c r="K93" s="59">
        <v>0</v>
      </c>
      <c r="L93" s="46"/>
      <c r="M93" s="46"/>
      <c r="N93" s="46"/>
      <c r="O93" s="46"/>
      <c r="P93" s="46"/>
      <c r="Q93" s="22">
        <f t="shared" si="28"/>
        <v>0.16666666666666666</v>
      </c>
      <c r="R93" s="49">
        <v>0</v>
      </c>
      <c r="S93" s="47"/>
      <c r="T93" s="32">
        <f t="shared" si="31"/>
        <v>0</v>
      </c>
      <c r="U93" s="32">
        <f t="shared" si="33"/>
        <v>0</v>
      </c>
      <c r="V93" s="49" t="s">
        <v>122</v>
      </c>
      <c r="W93" s="141" t="s">
        <v>65</v>
      </c>
      <c r="Y93" s="1" t="s">
        <v>23</v>
      </c>
      <c r="Z93" s="13">
        <f t="shared" si="37"/>
        <v>1</v>
      </c>
      <c r="AA93" s="2">
        <f t="shared" si="29"/>
        <v>0</v>
      </c>
      <c r="AB93" s="2">
        <f t="shared" si="30"/>
        <v>0</v>
      </c>
    </row>
    <row r="94" spans="1:28" x14ac:dyDescent="0.35">
      <c r="A94" s="26">
        <f t="shared" si="32"/>
        <v>0</v>
      </c>
      <c r="B94" s="29" cm="1">
        <f t="array" ref="B94">_xlfn.IFS(Y94=$Z$2,IF(U94="","",IF(G94/F94=0,U94/Q94,G94/F94)),Y94=$Z$3,0,Y94=$Z$4,1)</f>
        <v>1</v>
      </c>
      <c r="C94" s="55">
        <f t="shared" si="34"/>
        <v>1</v>
      </c>
      <c r="D94" s="49"/>
      <c r="E94" s="46"/>
      <c r="F94" s="24">
        <f t="shared" si="38"/>
        <v>0</v>
      </c>
      <c r="G94" s="56">
        <f t="shared" si="39"/>
        <v>0</v>
      </c>
      <c r="H94" s="56">
        <f t="shared" si="40"/>
        <v>0</v>
      </c>
      <c r="I94" s="56" cm="1">
        <f t="array" ref="I94">_xlfn.IFS(Y94=$Z$4,F94,Y94=$Z$3,0,Y94=#REF!,0,Y94=$Z$2,F94-1)</f>
        <v>0</v>
      </c>
      <c r="J94" s="56" cm="1">
        <f t="array" ref="J94">_xlfn.IFS(Y94=$Z$4,F94,Y94=$Z$3,0,Y94=#REF!,0,Y94=$Z$2,F94-1)</f>
        <v>0</v>
      </c>
      <c r="K94" s="59">
        <v>0</v>
      </c>
      <c r="L94" s="46"/>
      <c r="M94" s="46"/>
      <c r="N94" s="46"/>
      <c r="O94" s="46"/>
      <c r="P94" s="46"/>
      <c r="Q94" s="22">
        <f t="shared" si="28"/>
        <v>0.16666666666666666</v>
      </c>
      <c r="R94" s="49">
        <v>0</v>
      </c>
      <c r="S94" s="47"/>
      <c r="T94" s="32">
        <f t="shared" si="31"/>
        <v>0</v>
      </c>
      <c r="U94" s="32">
        <f t="shared" si="33"/>
        <v>0</v>
      </c>
      <c r="V94" s="49" t="s">
        <v>122</v>
      </c>
      <c r="W94" s="141" t="s">
        <v>65</v>
      </c>
      <c r="Y94" s="1" t="s">
        <v>23</v>
      </c>
      <c r="Z94" s="13">
        <f t="shared" si="37"/>
        <v>1</v>
      </c>
      <c r="AA94" s="2">
        <f t="shared" si="29"/>
        <v>0</v>
      </c>
      <c r="AB94" s="2">
        <f t="shared" si="30"/>
        <v>0</v>
      </c>
    </row>
    <row r="95" spans="1:28" x14ac:dyDescent="0.35">
      <c r="A95" s="26">
        <f t="shared" si="32"/>
        <v>0</v>
      </c>
      <c r="B95" s="29" cm="1">
        <f t="array" ref="B95">_xlfn.IFS(Y95=$Z$2,IF(U95="","",IF(G95/F95=0,U95/Q95,G95/F95)),Y95=$Z$3,0,Y95=$Z$4,1)</f>
        <v>1</v>
      </c>
      <c r="C95" s="55">
        <f t="shared" si="34"/>
        <v>1</v>
      </c>
      <c r="D95" s="49"/>
      <c r="E95" s="46"/>
      <c r="F95" s="24">
        <f t="shared" si="38"/>
        <v>0</v>
      </c>
      <c r="G95" s="56">
        <f t="shared" si="39"/>
        <v>0</v>
      </c>
      <c r="H95" s="56">
        <f t="shared" si="40"/>
        <v>0</v>
      </c>
      <c r="I95" s="56" cm="1">
        <f t="array" ref="I95">_xlfn.IFS(Y95=$Z$4,F95,Y95=$Z$3,0,Y95=#REF!,0,Y95=$Z$2,F95-1)</f>
        <v>0</v>
      </c>
      <c r="J95" s="56" cm="1">
        <f t="array" ref="J95">_xlfn.IFS(Y95=$Z$4,F95,Y95=$Z$3,0,Y95=#REF!,0,Y95=$Z$2,F95-1)</f>
        <v>0</v>
      </c>
      <c r="K95" s="59">
        <v>0</v>
      </c>
      <c r="L95" s="46"/>
      <c r="M95" s="46"/>
      <c r="N95" s="46"/>
      <c r="O95" s="46"/>
      <c r="P95" s="46"/>
      <c r="Q95" s="22">
        <f t="shared" si="28"/>
        <v>0.16666666666666666</v>
      </c>
      <c r="R95" s="49">
        <v>0</v>
      </c>
      <c r="S95" s="47"/>
      <c r="T95" s="32">
        <f t="shared" si="31"/>
        <v>0</v>
      </c>
      <c r="U95" s="32">
        <f t="shared" si="33"/>
        <v>0</v>
      </c>
      <c r="V95" s="49" t="s">
        <v>122</v>
      </c>
      <c r="W95" s="141" t="s">
        <v>65</v>
      </c>
      <c r="Y95" s="1" t="s">
        <v>23</v>
      </c>
      <c r="Z95" s="13">
        <f t="shared" si="37"/>
        <v>1</v>
      </c>
      <c r="AA95" s="2">
        <f t="shared" si="29"/>
        <v>0</v>
      </c>
      <c r="AB95" s="2">
        <f t="shared" si="30"/>
        <v>0</v>
      </c>
    </row>
    <row r="96" spans="1:28" x14ac:dyDescent="0.35">
      <c r="A96" s="26">
        <f t="shared" si="32"/>
        <v>0</v>
      </c>
      <c r="B96" s="29" cm="1">
        <f t="array" ref="B96">_xlfn.IFS(Y96=$Z$2,IF(U96="","",IF(G96/F96=0,U96/Q96,G96/F96)),Y96=$Z$3,0,Y96=$Z$4,1)</f>
        <v>1</v>
      </c>
      <c r="C96" s="55">
        <f t="shared" si="34"/>
        <v>1</v>
      </c>
      <c r="D96" s="49"/>
      <c r="E96" s="46"/>
      <c r="F96" s="24">
        <f t="shared" si="38"/>
        <v>0</v>
      </c>
      <c r="G96" s="56">
        <f t="shared" si="39"/>
        <v>0</v>
      </c>
      <c r="H96" s="56">
        <f t="shared" si="40"/>
        <v>0</v>
      </c>
      <c r="I96" s="56" cm="1">
        <f t="array" ref="I96">_xlfn.IFS(Y96=$Z$4,F96,Y96=$Z$3,0,Y96=#REF!,0,Y96=$Z$2,F96-1)</f>
        <v>0</v>
      </c>
      <c r="J96" s="56" cm="1">
        <f t="array" ref="J96">_xlfn.IFS(Y96=$Z$4,F96,Y96=$Z$3,0,Y96=#REF!,0,Y96=$Z$2,F96-1)</f>
        <v>0</v>
      </c>
      <c r="K96" s="59">
        <v>0</v>
      </c>
      <c r="L96" s="46"/>
      <c r="M96" s="46"/>
      <c r="N96" s="46"/>
      <c r="O96" s="46"/>
      <c r="P96" s="46"/>
      <c r="Q96" s="22">
        <f t="shared" si="28"/>
        <v>0.16666666666666666</v>
      </c>
      <c r="R96" s="49">
        <v>0</v>
      </c>
      <c r="S96" s="47"/>
      <c r="T96" s="32">
        <f t="shared" si="31"/>
        <v>0</v>
      </c>
      <c r="U96" s="32">
        <f t="shared" si="33"/>
        <v>0</v>
      </c>
      <c r="V96" s="49" t="s">
        <v>122</v>
      </c>
      <c r="W96" s="141" t="s">
        <v>65</v>
      </c>
      <c r="Y96" s="1" t="s">
        <v>23</v>
      </c>
      <c r="Z96" s="13">
        <f t="shared" si="37"/>
        <v>1</v>
      </c>
      <c r="AA96" s="2">
        <f t="shared" si="29"/>
        <v>0</v>
      </c>
      <c r="AB96" s="2">
        <f t="shared" si="30"/>
        <v>0</v>
      </c>
    </row>
    <row r="97" spans="1:31" x14ac:dyDescent="0.35">
      <c r="A97" s="26">
        <f t="shared" si="32"/>
        <v>0</v>
      </c>
      <c r="B97" s="29" cm="1">
        <f t="array" ref="B97">_xlfn.IFS(Y97=$Z$2,IF(U97="","",IF(G97/F97=0,U97/Q97,G97/F97)),Y97=$Z$3,0,Y97=$Z$4,1)</f>
        <v>1</v>
      </c>
      <c r="C97" s="55">
        <f t="shared" si="34"/>
        <v>1</v>
      </c>
      <c r="D97" s="49"/>
      <c r="E97" s="46"/>
      <c r="F97" s="24">
        <f t="shared" si="38"/>
        <v>0</v>
      </c>
      <c r="G97" s="56">
        <f t="shared" si="39"/>
        <v>0</v>
      </c>
      <c r="H97" s="56">
        <f t="shared" si="40"/>
        <v>0</v>
      </c>
      <c r="I97" s="56" cm="1">
        <f t="array" ref="I97">_xlfn.IFS(Y97=$Z$4,F97,Y97=$Z$3,0,Y97=#REF!,0,Y97=$Z$2,F97-1)</f>
        <v>0</v>
      </c>
      <c r="J97" s="56" cm="1">
        <f t="array" ref="J97">_xlfn.IFS(Y97=$Z$4,F97,Y97=$Z$3,0,Y97=#REF!,0,Y97=$Z$2,F97-1)</f>
        <v>0</v>
      </c>
      <c r="K97" s="59">
        <v>0</v>
      </c>
      <c r="L97" s="46"/>
      <c r="M97" s="46"/>
      <c r="N97" s="46"/>
      <c r="O97" s="46"/>
      <c r="P97" s="46"/>
      <c r="Q97" s="22">
        <f t="shared" si="28"/>
        <v>0.16666666666666666</v>
      </c>
      <c r="R97" s="49">
        <v>0</v>
      </c>
      <c r="S97" s="47"/>
      <c r="T97" s="32">
        <f t="shared" si="31"/>
        <v>0</v>
      </c>
      <c r="U97" s="32">
        <f t="shared" si="33"/>
        <v>0</v>
      </c>
      <c r="V97" s="49" t="s">
        <v>122</v>
      </c>
      <c r="W97" s="141" t="s">
        <v>65</v>
      </c>
      <c r="Y97" s="1" t="s">
        <v>23</v>
      </c>
      <c r="Z97" s="13">
        <f t="shared" si="37"/>
        <v>1</v>
      </c>
      <c r="AA97" s="2">
        <f t="shared" si="29"/>
        <v>0</v>
      </c>
      <c r="AB97" s="2">
        <f t="shared" si="30"/>
        <v>0</v>
      </c>
    </row>
    <row r="98" spans="1:31" x14ac:dyDescent="0.35">
      <c r="A98" s="26">
        <f t="shared" si="32"/>
        <v>0</v>
      </c>
      <c r="B98" s="29" cm="1">
        <f t="array" ref="B98">_xlfn.IFS(Y98=$Z$2,IF(U98="","",IF(G98/F98=0,U98/Q98,G98/F98)),Y98=$Z$3,0,Y98=$Z$4,1)</f>
        <v>1</v>
      </c>
      <c r="C98" s="55">
        <f t="shared" si="34"/>
        <v>1</v>
      </c>
      <c r="D98" s="49"/>
      <c r="E98" s="46"/>
      <c r="F98" s="24">
        <f t="shared" si="38"/>
        <v>0</v>
      </c>
      <c r="G98" s="56">
        <f t="shared" si="39"/>
        <v>0</v>
      </c>
      <c r="H98" s="56">
        <f t="shared" si="40"/>
        <v>0</v>
      </c>
      <c r="I98" s="56" cm="1">
        <f t="array" ref="I98">_xlfn.IFS(Y98=$Z$4,F98,Y98=$Z$3,0,Y98=#REF!,0,Y98=$Z$2,F98-1)</f>
        <v>0</v>
      </c>
      <c r="J98" s="56" cm="1">
        <f t="array" ref="J98">_xlfn.IFS(Y98=$Z$4,F98,Y98=$Z$3,0,Y98=#REF!,0,Y98=$Z$2,F98-1)</f>
        <v>0</v>
      </c>
      <c r="K98" s="59">
        <v>0</v>
      </c>
      <c r="L98" s="46"/>
      <c r="M98" s="46"/>
      <c r="N98" s="46"/>
      <c r="O98" s="46"/>
      <c r="P98" s="46"/>
      <c r="Q98" s="22">
        <f t="shared" si="28"/>
        <v>0.16666666666666666</v>
      </c>
      <c r="R98" s="49">
        <v>0</v>
      </c>
      <c r="S98" s="47"/>
      <c r="T98" s="32">
        <f t="shared" si="31"/>
        <v>0</v>
      </c>
      <c r="U98" s="32">
        <f t="shared" si="33"/>
        <v>0</v>
      </c>
      <c r="V98" s="49" t="s">
        <v>122</v>
      </c>
      <c r="W98" s="141" t="s">
        <v>65</v>
      </c>
      <c r="Y98" s="1" t="s">
        <v>23</v>
      </c>
      <c r="Z98" s="13">
        <f t="shared" si="37"/>
        <v>1</v>
      </c>
      <c r="AA98" s="2">
        <f t="shared" si="29"/>
        <v>0</v>
      </c>
      <c r="AB98" s="2">
        <f t="shared" si="30"/>
        <v>0</v>
      </c>
    </row>
    <row r="99" spans="1:31" x14ac:dyDescent="0.35">
      <c r="A99" s="26">
        <f t="shared" si="32"/>
        <v>0</v>
      </c>
      <c r="B99" s="29" cm="1">
        <f t="array" ref="B99">_xlfn.IFS(Y99=$Z$2,IF(U99="","",IF(G99/F99=0,U99/Q99,G99/F99)),Y99=$Z$3,0,Y99=$Z$4,1)</f>
        <v>1</v>
      </c>
      <c r="C99" s="55">
        <f t="shared" si="34"/>
        <v>1</v>
      </c>
      <c r="D99" s="49"/>
      <c r="E99" s="46"/>
      <c r="F99" s="24">
        <f t="shared" si="38"/>
        <v>0</v>
      </c>
      <c r="G99" s="56">
        <f t="shared" si="39"/>
        <v>0</v>
      </c>
      <c r="H99" s="56">
        <f t="shared" si="40"/>
        <v>0</v>
      </c>
      <c r="I99" s="56" cm="1">
        <f t="array" ref="I99">_xlfn.IFS(Y99=$Z$4,F99,Y99=$Z$3,0,Y99=#REF!,0,Y99=$Z$2,F99-1)</f>
        <v>0</v>
      </c>
      <c r="J99" s="56" cm="1">
        <f t="array" ref="J99">_xlfn.IFS(Y99=$Z$4,F99,Y99=$Z$3,0,Y99=#REF!,0,Y99=$Z$2,F99-1)</f>
        <v>0</v>
      </c>
      <c r="K99" s="59">
        <v>0</v>
      </c>
      <c r="L99" s="46"/>
      <c r="M99" s="46"/>
      <c r="N99" s="46"/>
      <c r="O99" s="46"/>
      <c r="P99" s="46"/>
      <c r="Q99" s="22">
        <f t="shared" si="28"/>
        <v>0.16666666666666666</v>
      </c>
      <c r="R99" s="49">
        <v>0</v>
      </c>
      <c r="S99" s="47"/>
      <c r="T99" s="32">
        <f t="shared" si="31"/>
        <v>0</v>
      </c>
      <c r="U99" s="32">
        <f t="shared" si="33"/>
        <v>0</v>
      </c>
      <c r="V99" s="49" t="s">
        <v>122</v>
      </c>
      <c r="W99" s="141" t="s">
        <v>65</v>
      </c>
      <c r="Y99" s="1" t="s">
        <v>23</v>
      </c>
      <c r="Z99" s="13">
        <f t="shared" si="37"/>
        <v>1</v>
      </c>
      <c r="AA99" s="2">
        <f t="shared" si="29"/>
        <v>0</v>
      </c>
      <c r="AB99" s="2">
        <f t="shared" si="30"/>
        <v>0</v>
      </c>
    </row>
    <row r="100" spans="1:31" x14ac:dyDescent="0.35">
      <c r="A100" s="26">
        <f t="shared" si="32"/>
        <v>0</v>
      </c>
      <c r="B100" s="29" cm="1">
        <f t="array" ref="B100">_xlfn.IFS(Y100=$Z$2,IF(U100="","",IF(G100/F100=0,U100/Q100,G100/F100)),Y100=$Z$3,0,Y100=$Z$4,1)</f>
        <v>1</v>
      </c>
      <c r="C100" s="55">
        <f t="shared" si="34"/>
        <v>1</v>
      </c>
      <c r="D100" s="49"/>
      <c r="E100" s="46"/>
      <c r="F100" s="24">
        <f t="shared" si="38"/>
        <v>0</v>
      </c>
      <c r="G100" s="56">
        <f t="shared" si="39"/>
        <v>0</v>
      </c>
      <c r="H100" s="56">
        <f t="shared" si="40"/>
        <v>0</v>
      </c>
      <c r="I100" s="56" cm="1">
        <f t="array" ref="I100">_xlfn.IFS(Y100=$Z$4,F100,Y100=$Z$3,0,Y100=#REF!,0,Y100=$Z$2,F100-1)</f>
        <v>0</v>
      </c>
      <c r="J100" s="56" cm="1">
        <f t="array" ref="J100">_xlfn.IFS(Y100=$Z$4,F100,Y100=$Z$3,0,Y100=#REF!,0,Y100=$Z$2,F100-1)</f>
        <v>0</v>
      </c>
      <c r="K100" s="59">
        <v>0</v>
      </c>
      <c r="L100" s="46"/>
      <c r="M100" s="46"/>
      <c r="N100" s="46"/>
      <c r="O100" s="46"/>
      <c r="P100" s="46"/>
      <c r="Q100" s="22">
        <f t="shared" si="28"/>
        <v>0.16666666666666666</v>
      </c>
      <c r="R100" s="49">
        <v>0</v>
      </c>
      <c r="S100" s="47"/>
      <c r="T100" s="32">
        <f t="shared" si="31"/>
        <v>0</v>
      </c>
      <c r="U100" s="32">
        <f t="shared" si="33"/>
        <v>0</v>
      </c>
      <c r="V100" s="49" t="s">
        <v>122</v>
      </c>
      <c r="W100" s="141" t="s">
        <v>65</v>
      </c>
      <c r="Y100" s="1" t="s">
        <v>23</v>
      </c>
      <c r="Z100" s="13">
        <f t="shared" si="37"/>
        <v>1</v>
      </c>
      <c r="AA100" s="2">
        <f t="shared" si="29"/>
        <v>0</v>
      </c>
      <c r="AB100" s="2">
        <f t="shared" si="30"/>
        <v>0</v>
      </c>
    </row>
    <row r="101" spans="1:31" x14ac:dyDescent="0.35">
      <c r="A101" s="26">
        <f t="shared" si="32"/>
        <v>0</v>
      </c>
      <c r="B101" s="29" cm="1">
        <f t="array" ref="B101">_xlfn.IFS(Y101=$Z$2,IF(U101="","",IF(G101/F101=0,U101/Q101,G101/F101)),Y101=$Z$3,0,Y101=$Z$4,1)</f>
        <v>1</v>
      </c>
      <c r="C101" s="55">
        <f t="shared" si="34"/>
        <v>1</v>
      </c>
      <c r="D101" s="49"/>
      <c r="E101" s="46"/>
      <c r="F101" s="24">
        <f t="shared" si="38"/>
        <v>0</v>
      </c>
      <c r="G101" s="56">
        <f t="shared" si="39"/>
        <v>0</v>
      </c>
      <c r="H101" s="56">
        <f t="shared" si="40"/>
        <v>0</v>
      </c>
      <c r="I101" s="56" cm="1">
        <f t="array" ref="I101">_xlfn.IFS(Y101=$Z$4,F101,Y101=$Z$3,0,Y101=#REF!,0,Y101=$Z$2,F101-1)</f>
        <v>0</v>
      </c>
      <c r="J101" s="56" cm="1">
        <f t="array" ref="J101">_xlfn.IFS(Y101=$Z$4,F101,Y101=$Z$3,0,Y101=#REF!,0,Y101=$Z$2,F101-1)</f>
        <v>0</v>
      </c>
      <c r="K101" s="59">
        <v>0</v>
      </c>
      <c r="L101" s="46"/>
      <c r="M101" s="46"/>
      <c r="N101" s="46"/>
      <c r="O101" s="46"/>
      <c r="P101" s="46"/>
      <c r="Q101" s="22">
        <f t="shared" si="28"/>
        <v>0.16666666666666666</v>
      </c>
      <c r="R101" s="49">
        <v>0</v>
      </c>
      <c r="S101" s="47"/>
      <c r="T101" s="32">
        <f t="shared" si="31"/>
        <v>0</v>
      </c>
      <c r="U101" s="32">
        <f t="shared" si="33"/>
        <v>0</v>
      </c>
      <c r="V101" s="49" t="s">
        <v>122</v>
      </c>
      <c r="W101" s="141" t="s">
        <v>65</v>
      </c>
      <c r="Y101" s="1" t="s">
        <v>23</v>
      </c>
      <c r="Z101" s="13">
        <f t="shared" si="37"/>
        <v>1</v>
      </c>
      <c r="AA101" s="2">
        <f t="shared" si="29"/>
        <v>0</v>
      </c>
      <c r="AB101" s="2">
        <f t="shared" si="30"/>
        <v>0</v>
      </c>
    </row>
    <row r="102" spans="1:31" x14ac:dyDescent="0.35">
      <c r="A102" s="26">
        <f t="shared" si="32"/>
        <v>0</v>
      </c>
      <c r="B102" s="29" cm="1">
        <f t="array" ref="B102">_xlfn.IFS(Y102=$Z$2,IF(U102="","",IF(G102/F102=0,U102/Q102,G102/F102)),Y102=$Z$3,0,Y102=$Z$4,1)</f>
        <v>1</v>
      </c>
      <c r="C102" s="55">
        <f t="shared" si="34"/>
        <v>1</v>
      </c>
      <c r="D102" s="49"/>
      <c r="E102" s="46"/>
      <c r="F102" s="24">
        <f t="shared" si="38"/>
        <v>0</v>
      </c>
      <c r="G102" s="56">
        <f t="shared" si="39"/>
        <v>0</v>
      </c>
      <c r="H102" s="56">
        <f t="shared" si="40"/>
        <v>0</v>
      </c>
      <c r="I102" s="56" cm="1">
        <f t="array" ref="I102">_xlfn.IFS(Y102=$Z$4,F102,Y102=$Z$3,0,Y102=#REF!,0,Y102=$Z$2,F102-1)</f>
        <v>0</v>
      </c>
      <c r="J102" s="56" cm="1">
        <f t="array" ref="J102">_xlfn.IFS(Y102=$Z$4,F102,Y102=$Z$3,0,Y102=#REF!,0,Y102=$Z$2,F102-1)</f>
        <v>0</v>
      </c>
      <c r="K102" s="59">
        <v>0</v>
      </c>
      <c r="L102" s="46"/>
      <c r="M102" s="46"/>
      <c r="N102" s="46"/>
      <c r="O102" s="46"/>
      <c r="P102" s="46"/>
      <c r="Q102" s="22">
        <f t="shared" si="28"/>
        <v>0.16666666666666666</v>
      </c>
      <c r="R102" s="49">
        <v>0</v>
      </c>
      <c r="S102" s="47"/>
      <c r="T102" s="32">
        <f t="shared" si="31"/>
        <v>0</v>
      </c>
      <c r="U102" s="32">
        <f t="shared" si="33"/>
        <v>0</v>
      </c>
      <c r="V102" s="49" t="s">
        <v>122</v>
      </c>
      <c r="W102" s="141" t="s">
        <v>65</v>
      </c>
      <c r="Y102" s="1" t="s">
        <v>23</v>
      </c>
      <c r="Z102" s="13">
        <f t="shared" si="37"/>
        <v>1</v>
      </c>
      <c r="AA102" s="2">
        <f t="shared" si="29"/>
        <v>0</v>
      </c>
      <c r="AB102" s="2">
        <f t="shared" si="30"/>
        <v>0</v>
      </c>
    </row>
    <row r="103" spans="1:31" x14ac:dyDescent="0.35">
      <c r="A103" s="26">
        <f t="shared" si="32"/>
        <v>0</v>
      </c>
      <c r="B103" s="29" cm="1">
        <f t="array" ref="B103">_xlfn.IFS(Y103=$Z$2,IF(U103="","",IF(G103/F103=0,U103/Q103,G103/F103)),Y103=$Z$3,0,Y103=$Z$4,1)</f>
        <v>1</v>
      </c>
      <c r="C103" s="55">
        <f t="shared" si="34"/>
        <v>1</v>
      </c>
      <c r="D103" s="49"/>
      <c r="E103" s="46"/>
      <c r="F103" s="24">
        <f t="shared" si="38"/>
        <v>0</v>
      </c>
      <c r="G103" s="56">
        <f t="shared" si="39"/>
        <v>0</v>
      </c>
      <c r="H103" s="56">
        <f t="shared" si="40"/>
        <v>0</v>
      </c>
      <c r="I103" s="56" cm="1">
        <f t="array" ref="I103">_xlfn.IFS(Y103=$Z$4,F103,Y103=$Z$3,0,Y103=#REF!,0,Y103=$Z$2,F103-1)</f>
        <v>0</v>
      </c>
      <c r="J103" s="56" cm="1">
        <f t="array" ref="J103">_xlfn.IFS(Y103=$Z$4,F103,Y103=$Z$3,0,Y103=#REF!,0,Y103=$Z$2,F103-1)</f>
        <v>0</v>
      </c>
      <c r="K103" s="59">
        <v>0</v>
      </c>
      <c r="L103" s="46"/>
      <c r="M103" s="46"/>
      <c r="N103" s="46"/>
      <c r="O103" s="46"/>
      <c r="P103" s="46"/>
      <c r="Q103" s="22">
        <f t="shared" si="28"/>
        <v>0.16666666666666666</v>
      </c>
      <c r="R103" s="49">
        <v>0</v>
      </c>
      <c r="S103" s="47"/>
      <c r="T103" s="32">
        <f t="shared" si="31"/>
        <v>0</v>
      </c>
      <c r="U103" s="32">
        <f t="shared" si="33"/>
        <v>0</v>
      </c>
      <c r="V103" s="49" t="s">
        <v>122</v>
      </c>
      <c r="W103" s="141" t="s">
        <v>65</v>
      </c>
      <c r="Y103" s="1" t="s">
        <v>23</v>
      </c>
      <c r="Z103" s="13">
        <f t="shared" si="37"/>
        <v>1</v>
      </c>
      <c r="AA103" s="2">
        <f t="shared" si="29"/>
        <v>0</v>
      </c>
      <c r="AB103" s="2">
        <f t="shared" si="30"/>
        <v>0</v>
      </c>
    </row>
    <row r="104" spans="1:31" x14ac:dyDescent="0.35">
      <c r="A104" s="26">
        <f t="shared" si="32"/>
        <v>0</v>
      </c>
      <c r="B104" s="29" cm="1">
        <f t="array" ref="B104">_xlfn.IFS(Y104=$Z$2,IF(U104="","",IF(G104/F104=0,U104/Q104,G104/F104)),Y104=$Z$3,0,Y104=$Z$4,1)</f>
        <v>1</v>
      </c>
      <c r="C104" s="55">
        <f t="shared" si="34"/>
        <v>1</v>
      </c>
      <c r="D104" s="49"/>
      <c r="E104" s="46"/>
      <c r="F104" s="24">
        <f t="shared" si="38"/>
        <v>0</v>
      </c>
      <c r="G104" s="56">
        <f t="shared" si="39"/>
        <v>0</v>
      </c>
      <c r="H104" s="56">
        <f t="shared" si="40"/>
        <v>0</v>
      </c>
      <c r="I104" s="56" cm="1">
        <f t="array" ref="I104">_xlfn.IFS(Y104=$Z$4,F104,Y104=$Z$3,0,Y104=#REF!,0,Y104=$Z$2,F104-1)</f>
        <v>0</v>
      </c>
      <c r="J104" s="56" cm="1">
        <f t="array" ref="J104">_xlfn.IFS(Y104=$Z$4,F104,Y104=$Z$3,0,Y104=#REF!,0,Y104=$Z$2,F104-1)</f>
        <v>0</v>
      </c>
      <c r="K104" s="59">
        <v>0</v>
      </c>
      <c r="L104" s="46"/>
      <c r="M104" s="46"/>
      <c r="N104" s="46"/>
      <c r="O104" s="46"/>
      <c r="P104" s="46"/>
      <c r="Q104" s="22">
        <f t="shared" si="28"/>
        <v>0.16666666666666666</v>
      </c>
      <c r="R104" s="49">
        <v>0</v>
      </c>
      <c r="S104" s="47"/>
      <c r="T104" s="32">
        <f t="shared" si="31"/>
        <v>0</v>
      </c>
      <c r="U104" s="32">
        <f t="shared" si="33"/>
        <v>0</v>
      </c>
      <c r="V104" s="49" t="s">
        <v>122</v>
      </c>
      <c r="W104" s="141" t="s">
        <v>65</v>
      </c>
      <c r="Y104" s="1" t="s">
        <v>23</v>
      </c>
      <c r="Z104" s="13">
        <f t="shared" si="37"/>
        <v>1</v>
      </c>
      <c r="AA104" s="2">
        <f t="shared" si="29"/>
        <v>0</v>
      </c>
      <c r="AB104" s="2">
        <f t="shared" si="30"/>
        <v>0</v>
      </c>
    </row>
    <row r="105" spans="1:31" x14ac:dyDescent="0.35">
      <c r="A105" s="26">
        <f t="shared" si="32"/>
        <v>0</v>
      </c>
      <c r="B105" s="29" cm="1">
        <f t="array" ref="B105">_xlfn.IFS(Y105=$Z$2,IF(U105="","",IF(G105/F105=0,U105/Q105,G105/F105)),Y105=$Z$3,0,Y105=$Z$4,1)</f>
        <v>1</v>
      </c>
      <c r="C105" s="55">
        <f t="shared" si="34"/>
        <v>1</v>
      </c>
      <c r="D105" s="49"/>
      <c r="E105" s="46"/>
      <c r="F105" s="24">
        <f t="shared" si="38"/>
        <v>0</v>
      </c>
      <c r="G105" s="56">
        <f t="shared" si="39"/>
        <v>0</v>
      </c>
      <c r="H105" s="56">
        <f t="shared" si="40"/>
        <v>0</v>
      </c>
      <c r="I105" s="56" cm="1">
        <f t="array" ref="I105">_xlfn.IFS(Y105=$Z$4,F105,Y105=$Z$3,0,Y105=#REF!,0,Y105=$Z$2,F105-1)</f>
        <v>0</v>
      </c>
      <c r="J105" s="56" cm="1">
        <f t="array" ref="J105">_xlfn.IFS(Y105=$Z$4,F105,Y105=$Z$3,0,Y105=#REF!,0,Y105=$Z$2,F105-1)</f>
        <v>0</v>
      </c>
      <c r="K105" s="59">
        <v>0</v>
      </c>
      <c r="L105" s="46"/>
      <c r="M105" s="46"/>
      <c r="N105" s="46"/>
      <c r="O105" s="46"/>
      <c r="P105" s="46"/>
      <c r="Q105" s="22">
        <f t="shared" si="28"/>
        <v>0.16666666666666666</v>
      </c>
      <c r="R105" s="49">
        <v>0</v>
      </c>
      <c r="S105" s="47"/>
      <c r="T105" s="32">
        <f t="shared" si="31"/>
        <v>0</v>
      </c>
      <c r="U105" s="32">
        <f t="shared" si="33"/>
        <v>0</v>
      </c>
      <c r="V105" s="49" t="s">
        <v>122</v>
      </c>
      <c r="W105" s="141" t="s">
        <v>65</v>
      </c>
      <c r="Y105" s="1" t="s">
        <v>23</v>
      </c>
      <c r="Z105" s="13">
        <f t="shared" si="37"/>
        <v>1</v>
      </c>
      <c r="AA105" s="2">
        <f t="shared" si="29"/>
        <v>0</v>
      </c>
      <c r="AB105" s="2">
        <f t="shared" si="30"/>
        <v>0</v>
      </c>
    </row>
    <row r="106" spans="1:31" x14ac:dyDescent="0.35">
      <c r="A106" s="26">
        <f t="shared" si="32"/>
        <v>0</v>
      </c>
      <c r="B106" s="29" cm="1">
        <f t="array" ref="B106">_xlfn.IFS(Y106=$Z$2,IF(U106="","",IF(G106/F106=0,U106/Q106,G106/F106)),Y106=$Z$3,0,Y106=$Z$4,1)</f>
        <v>1</v>
      </c>
      <c r="C106" s="55">
        <f t="shared" si="34"/>
        <v>1</v>
      </c>
      <c r="D106" s="49"/>
      <c r="E106" s="46"/>
      <c r="F106" s="24">
        <f t="shared" si="38"/>
        <v>0</v>
      </c>
      <c r="G106" s="56">
        <f t="shared" si="39"/>
        <v>0</v>
      </c>
      <c r="H106" s="56">
        <f t="shared" si="40"/>
        <v>0</v>
      </c>
      <c r="I106" s="56" cm="1">
        <f t="array" ref="I106">_xlfn.IFS(Y106=$Z$4,F106,Y106=$Z$3,0,Y106=#REF!,0,Y106=$Z$2,F106-1)</f>
        <v>0</v>
      </c>
      <c r="J106" s="56" cm="1">
        <f t="array" ref="J106">_xlfn.IFS(Y106=$Z$4,F106,Y106=$Z$3,0,Y106=#REF!,0,Y106=$Z$2,F106-1)</f>
        <v>0</v>
      </c>
      <c r="K106" s="59">
        <v>0</v>
      </c>
      <c r="L106" s="46"/>
      <c r="M106" s="46"/>
      <c r="N106" s="46"/>
      <c r="O106" s="46"/>
      <c r="P106" s="46"/>
      <c r="Q106" s="22">
        <f t="shared" si="28"/>
        <v>0.16666666666666666</v>
      </c>
      <c r="R106" s="49">
        <v>0</v>
      </c>
      <c r="S106" s="47"/>
      <c r="T106" s="32">
        <f t="shared" si="31"/>
        <v>0</v>
      </c>
      <c r="U106" s="32">
        <f t="shared" si="33"/>
        <v>0</v>
      </c>
      <c r="V106" s="49" t="s">
        <v>122</v>
      </c>
      <c r="W106" s="141" t="s">
        <v>65</v>
      </c>
      <c r="Y106" s="1" t="s">
        <v>23</v>
      </c>
      <c r="Z106" s="13">
        <f t="shared" si="37"/>
        <v>1</v>
      </c>
      <c r="AA106" s="2">
        <f t="shared" si="29"/>
        <v>0</v>
      </c>
      <c r="AB106" s="2">
        <f t="shared" si="30"/>
        <v>0</v>
      </c>
    </row>
    <row r="107" spans="1:31" x14ac:dyDescent="0.35">
      <c r="A107" s="26">
        <f>A82</f>
        <v>0</v>
      </c>
      <c r="B107" s="29" cm="1">
        <f t="array" ref="B107">_xlfn.IFS(Y107=$Z$2,IF(U107="","",IF(G107/F107=0,U107/Q107,G107/F107)),Y107=$Z$3,0,Y107=$Z$4,1)</f>
        <v>1</v>
      </c>
      <c r="C107" s="55">
        <f t="shared" si="34"/>
        <v>1</v>
      </c>
      <c r="D107" s="49"/>
      <c r="E107" s="10"/>
      <c r="F107" s="24">
        <f>IF(E107=E82,F82,0)</f>
        <v>0</v>
      </c>
      <c r="G107" s="56">
        <f t="shared" si="39"/>
        <v>0</v>
      </c>
      <c r="H107" s="56">
        <f t="shared" si="40"/>
        <v>0</v>
      </c>
      <c r="I107" s="56" cm="1">
        <f t="array" ref="I107">_xlfn.IFS(Y107=$Z$4,F107,Y107=$Z$3,0,Y107=#REF!,0,Y107=$Z$2,F107-1)</f>
        <v>0</v>
      </c>
      <c r="J107" s="56" cm="1">
        <f t="array" ref="J107">_xlfn.IFS(Y107=$Z$4,F107,Y107=$Z$3,0,Y107=#REF!,0,Y107=$Z$2,F107-1)</f>
        <v>0</v>
      </c>
      <c r="K107" s="59">
        <v>0</v>
      </c>
      <c r="L107" s="10"/>
      <c r="M107" s="10"/>
      <c r="N107" s="10"/>
      <c r="O107" s="10"/>
      <c r="P107" s="10"/>
      <c r="Q107" s="22">
        <f t="shared" si="28"/>
        <v>0.16666666666666666</v>
      </c>
      <c r="R107" s="49">
        <v>0</v>
      </c>
      <c r="S107" s="22"/>
      <c r="T107" s="32">
        <f t="shared" si="31"/>
        <v>0</v>
      </c>
      <c r="U107" s="32">
        <f t="shared" si="33"/>
        <v>0</v>
      </c>
      <c r="V107" s="49" t="s">
        <v>122</v>
      </c>
      <c r="W107" s="141" t="s">
        <v>65</v>
      </c>
      <c r="Y107" s="1" t="s">
        <v>23</v>
      </c>
      <c r="Z107" s="13">
        <f t="shared" si="37"/>
        <v>1</v>
      </c>
      <c r="AA107" s="2">
        <f t="shared" si="29"/>
        <v>0</v>
      </c>
      <c r="AB107" s="2">
        <f t="shared" si="30"/>
        <v>0</v>
      </c>
    </row>
    <row r="108" spans="1:31" x14ac:dyDescent="0.35">
      <c r="A108" s="26">
        <f t="shared" si="32"/>
        <v>0</v>
      </c>
      <c r="B108" s="29" cm="1">
        <f t="array" ref="B108">_xlfn.IFS(Y108=$Z$2,IF(U108="","",IF(G108/F108=0,U108/Q108,G108/F108)),Y108=$Z$3,0,Y108=$Z$4,1)</f>
        <v>1</v>
      </c>
      <c r="C108" s="55">
        <f t="shared" si="34"/>
        <v>1</v>
      </c>
      <c r="D108" s="49"/>
      <c r="E108" s="10"/>
      <c r="F108" s="24">
        <f t="shared" si="38"/>
        <v>0</v>
      </c>
      <c r="G108" s="56">
        <f t="shared" si="39"/>
        <v>0</v>
      </c>
      <c r="H108" s="56">
        <f t="shared" si="40"/>
        <v>0</v>
      </c>
      <c r="I108" s="56" cm="1">
        <f t="array" ref="I108">_xlfn.IFS(Y108=$Z$4,F108,Y108=$Z$3,0,Y108=#REF!,0,Y108=$Z$2,F108-1)</f>
        <v>0</v>
      </c>
      <c r="J108" s="56" cm="1">
        <f t="array" ref="J108">_xlfn.IFS(Y108=$Z$4,F108,Y108=$Z$3,0,Y108=#REF!,0,Y108=$Z$2,F108-1)</f>
        <v>0</v>
      </c>
      <c r="K108" s="59">
        <v>0</v>
      </c>
      <c r="L108" s="10"/>
      <c r="M108" s="10"/>
      <c r="N108" s="10"/>
      <c r="O108" s="10"/>
      <c r="P108" s="10"/>
      <c r="Q108" s="22">
        <f t="shared" si="28"/>
        <v>0.16666666666666666</v>
      </c>
      <c r="R108" s="49">
        <v>0</v>
      </c>
      <c r="S108" s="22"/>
      <c r="T108" s="32">
        <f t="shared" si="31"/>
        <v>0</v>
      </c>
      <c r="U108" s="32">
        <f t="shared" si="33"/>
        <v>0</v>
      </c>
      <c r="V108" s="49" t="s">
        <v>122</v>
      </c>
      <c r="W108" s="141" t="s">
        <v>65</v>
      </c>
      <c r="Y108" s="1" t="s">
        <v>23</v>
      </c>
      <c r="Z108" s="13">
        <f t="shared" si="37"/>
        <v>1</v>
      </c>
      <c r="AA108" s="2">
        <f t="shared" si="29"/>
        <v>0</v>
      </c>
      <c r="AB108" s="2">
        <f t="shared" si="30"/>
        <v>0</v>
      </c>
    </row>
    <row r="109" spans="1:31" x14ac:dyDescent="0.35">
      <c r="D109" s="49"/>
      <c r="E109" s="1" cm="1">
        <f t="array" ref="E109">COUNTA(_xlfn.UNIQUE(_xlfn._xlws.FILTER($E$8:$E$107,$E$8:E107&lt;&gt;"")))</f>
        <v>1</v>
      </c>
      <c r="F109" s="31">
        <f>SUM(F8:F108)</f>
        <v>0</v>
      </c>
      <c r="G109" s="31">
        <f>SUM(G8:G108)</f>
        <v>0</v>
      </c>
      <c r="H109" s="31">
        <f>SUM(H8:H108)</f>
        <v>0</v>
      </c>
      <c r="I109" s="31">
        <f>SUM(I8:I108)</f>
        <v>0</v>
      </c>
      <c r="J109" s="31"/>
      <c r="K109" s="60">
        <f>SUM(K8:K108)</f>
        <v>0</v>
      </c>
      <c r="L109" s="1" cm="1">
        <f t="array" ref="L109">COUNTA(_xlfn.UNIQUE(_xlfn._xlws.FILTER($L$8:$L$107,$L$8:L107&lt;&gt;"")))</f>
        <v>1</v>
      </c>
      <c r="M109" s="1" cm="1">
        <f t="array" ref="M109">COUNTA(_xlfn.UNIQUE(_xlfn._xlws.FILTER($M$8:$M$107,$M$8:M107&lt;&gt;"")))</f>
        <v>1</v>
      </c>
      <c r="N109" s="1" cm="1">
        <f t="array" ref="N109">COUNTA(_xlfn.UNIQUE(_xlfn._xlws.FILTER($N$8:$N$107,$N$8:N107&lt;&gt;"")))</f>
        <v>1</v>
      </c>
      <c r="P109" s="2">
        <f>SUM(P8:P108)</f>
        <v>0</v>
      </c>
      <c r="R109" s="53">
        <f>SUM(R8:R108)</f>
        <v>0</v>
      </c>
      <c r="S109" s="53">
        <f>SUM(S8:S108)</f>
        <v>0</v>
      </c>
      <c r="T109" s="53">
        <f>SUM(T8:T108)</f>
        <v>0</v>
      </c>
      <c r="U109" s="53">
        <f>SUM(U8:U108)</f>
        <v>0</v>
      </c>
      <c r="V109" s="140"/>
    </row>
    <row r="110" spans="1:31" ht="15" thickBot="1" x14ac:dyDescent="0.4">
      <c r="B110" s="86" t="s">
        <v>27</v>
      </c>
      <c r="C110" s="91" t="s">
        <v>84</v>
      </c>
      <c r="D110" s="91" t="s">
        <v>98</v>
      </c>
      <c r="E110" s="91" t="s">
        <v>89</v>
      </c>
      <c r="F110" s="91" t="s">
        <v>94</v>
      </c>
      <c r="G110" s="91" t="s">
        <v>84</v>
      </c>
      <c r="H110" s="91" t="s">
        <v>16</v>
      </c>
      <c r="I110" s="91" t="s">
        <v>89</v>
      </c>
      <c r="J110" s="91" t="s">
        <v>94</v>
      </c>
      <c r="K110" s="91" t="s">
        <v>105</v>
      </c>
      <c r="M110" s="82" t="s">
        <v>84</v>
      </c>
      <c r="N110" s="82" t="s">
        <v>89</v>
      </c>
      <c r="T110" s="2"/>
      <c r="U110" s="2"/>
      <c r="V110" s="140"/>
    </row>
    <row r="111" spans="1:31" x14ac:dyDescent="0.35">
      <c r="B111" s="93" t="str">
        <f>AC2</f>
        <v>D</v>
      </c>
      <c r="C111" s="31" cm="1">
        <f t="array" ref="C111">IFERROR(ROWS(_xlfn.UNIQUE(_xlfn._xlws.FILTER($E$8:$E$108, ($D$8:$D$108=$AC$2) * ($Y$8:$Y$108=$Z$4)))), 0)</f>
        <v>0</v>
      </c>
      <c r="D111" s="31" cm="1">
        <f t="array" ref="D111">IFERROR(ROWS(_xlfn.UNIQUE(_xlfn._xlws.FILTER($E$8:$E$108, ($D$8:$D$108=$AC$2) * ($Y$8:$Y$108=$Z$2)))), 0)</f>
        <v>0</v>
      </c>
      <c r="E111" s="31" cm="1">
        <f t="array" ref="E111">IFERROR(ROWS(_xlfn.UNIQUE(_xlfn._xlws.FILTER($E$8:$E$108, ($D$8:$D$108=$AC$2) * ISNUMBER(MATCH($Y$8:$Y$108, _xlfn.VSTACK($Z$3, $Z$5), 0))))), 0)</f>
        <v>0</v>
      </c>
      <c r="F111" s="31">
        <f>SUM(C111:E111)</f>
        <v>0</v>
      </c>
      <c r="G111" s="53">
        <f>SUMIFS($U$8:$U$108, $Y$8:$Y$108, $Z$4, $D$8:$D$108, $AC$2)</f>
        <v>0</v>
      </c>
      <c r="H111" s="53">
        <f>SUMIFS($U$8:$U$108, $Y$8:$Y$108, $Z$2, $D$8:$D$108, $AC$2)</f>
        <v>0</v>
      </c>
      <c r="I111" s="53" cm="1">
        <f t="array" ref="I111">SUM(SUMIFS($P$8:$P$108, $Y$8:$Y$108, _xlfn.VSTACK($Z$3, $Z$5), $D$8:$D$108, $AC$2))</f>
        <v>0</v>
      </c>
      <c r="J111" s="31">
        <f>SUM(G111:I111)</f>
        <v>0</v>
      </c>
      <c r="K111" s="50" cm="1">
        <f t="array" ref="K111">SUM(SUMIFS($K$8:$K$108, $Y$8:$Y$108, _xlfn.VSTACK($Z$2, $Z$4), $D$8:$D$108, $AC$2))</f>
        <v>0</v>
      </c>
      <c r="M111" s="1" cm="1">
        <f t="array" ref="M111">SUM(SUMIFS($H$8:$H$108, $Y$8:$Y$108, _xlfn.VSTACK($Z$2, $Z$4), $D$8:$D$108, $AC$2))</f>
        <v>0</v>
      </c>
      <c r="N111" s="1" cm="1">
        <f t="array" ref="N111">SUM(SUMIFS($H$8:$H$108, $Y$8:$Y$108, _xlfn.VSTACK($Z$2, $Z$4), $D$8:$D$108, $AC$2))-M111</f>
        <v>0</v>
      </c>
      <c r="T111" s="2"/>
      <c r="U111" s="2"/>
      <c r="V111" s="140"/>
      <c r="Y111" s="6" t="s">
        <v>53</v>
      </c>
      <c r="Z111" s="6" t="s">
        <v>54</v>
      </c>
      <c r="AA111" s="6" t="s">
        <v>55</v>
      </c>
      <c r="AB111" s="6" t="s">
        <v>56</v>
      </c>
      <c r="AC111" s="6" t="s">
        <v>57</v>
      </c>
      <c r="AD111" s="6" t="s">
        <v>43</v>
      </c>
      <c r="AE111" s="6" t="s">
        <v>58</v>
      </c>
    </row>
    <row r="112" spans="1:31" x14ac:dyDescent="0.35">
      <c r="B112" s="85" t="str">
        <f>AC3</f>
        <v>O</v>
      </c>
      <c r="C112" s="31" cm="1">
        <f t="array" ref="C112">IFERROR(ROWS(_xlfn.UNIQUE(_xlfn._xlws.FILTER($E$8:$E$108, ($D$8:$D$108=$AC$3) * ($Y$8:$Y$108=$Z$4)))), 0)</f>
        <v>0</v>
      </c>
      <c r="D112" s="31" cm="1">
        <f t="array" ref="D112">IFERROR(ROWS(_xlfn.UNIQUE(_xlfn._xlws.FILTER($E$8:$E$108, ($D$8:$D$108=$AC$3) * ($Y$8:$Y$108=$Z$2)))), 0)</f>
        <v>0</v>
      </c>
      <c r="E112" s="31" cm="1">
        <f t="array" ref="E112">IFERROR(ROWS(_xlfn.UNIQUE(_xlfn._xlws.FILTER($E$8:$E$108, ($D$8:$D$108=$AC$3) * ISNUMBER(MATCH($Y$8:$Y$108, _xlfn.VSTACK($Z$3, $Z$5), 0))))), 0)</f>
        <v>0</v>
      </c>
      <c r="F112" s="31">
        <f>SUM(C112:E112)</f>
        <v>0</v>
      </c>
      <c r="G112" s="53">
        <f>SUMIFS($U$8:$U$108, $Y$8:$Y$108, $Z$4, $D$8:$D$108, $AC$3)</f>
        <v>0</v>
      </c>
      <c r="H112" s="53">
        <f>SUMIFS($U$8:$U$108, $Y$8:$Y$108, $Z$2, $D$8:$D$108, $AC$3)</f>
        <v>0</v>
      </c>
      <c r="I112" s="53" cm="1">
        <f t="array" ref="I112">SUM(SUMIFS($P$8:$P$108, $Y$8:$Y$108, _xlfn.VSTACK($Z$3, $Z$5), $D$8:$D$108, $AC$3))</f>
        <v>0</v>
      </c>
      <c r="J112" s="31">
        <f>SUM(G112:I112)</f>
        <v>0</v>
      </c>
      <c r="K112" s="50" cm="1">
        <f t="array" ref="K112">SUM(SUMIFS($K$8:$K$108, $Y$8:$Y$108, _xlfn.VSTACK($Z$2, $Z$4), $D$8:$D$108, $AC$3))</f>
        <v>0</v>
      </c>
      <c r="M112" s="1" cm="1">
        <f t="array" ref="M112">SUM(SUMIFS($H$8:$H$108, $Y$8:$Y$108, _xlfn.VSTACK($Z$2, $Z$4), $D$8:$D$108, $AC$3))</f>
        <v>0</v>
      </c>
      <c r="N112" s="1" cm="1">
        <f t="array" ref="N112">SUM(SUMIFS($F$8:$F$108, $Y$8:$Y$108, _xlfn.VSTACK($Z$2,$Z$4), $D$8:$D$108, $AC$3))-SUM(SUMIFS($G$8:$G$108, $Y$8:$Y$108, _xlfn.VSTACK($Z$2,$Z$4), $D$8:$D$108, $AC$3))</f>
        <v>0</v>
      </c>
      <c r="T112" s="2"/>
      <c r="U112" s="2"/>
      <c r="V112" s="140"/>
      <c r="X112" s="20" t="s">
        <v>59</v>
      </c>
      <c r="Y112" s="2">
        <f>SUMIF(D8:D62,"Q",AA8:AA62)</f>
        <v>0</v>
      </c>
      <c r="Z112" s="1">
        <f>COUNTIFS(D8:D62,"Q",B8:B62,1)+COUNTIFS(D8:D62,"Q",Y8:Y62,"LO")</f>
        <v>0</v>
      </c>
      <c r="AA112" s="14">
        <f>SUMIF(D8:D62,"Q",AB8:AB62)-Y112</f>
        <v>0</v>
      </c>
      <c r="AB112" s="15">
        <f>COUNTIFS(D8:D62,"Q",B8:B62,"&lt;1",Y8:Y62,"IP")</f>
        <v>0</v>
      </c>
      <c r="AC112" s="9">
        <v>0</v>
      </c>
      <c r="AD112" s="2">
        <f>Y112+AA112</f>
        <v>0</v>
      </c>
      <c r="AE112" s="15">
        <f>Z112+AB112</f>
        <v>0</v>
      </c>
    </row>
    <row r="113" spans="2:31" x14ac:dyDescent="0.35">
      <c r="B113" s="85" t="str">
        <f>AC4</f>
        <v>Q</v>
      </c>
      <c r="C113" s="31" cm="1">
        <f t="array" ref="C113">IFERROR(ROWS(_xlfn.UNIQUE(_xlfn._xlws.FILTER($E$8:$E$108, ($D$8:$D$108=$AC$4) * ($Y$8:$Y$108=$Z$4)))), 0)</f>
        <v>0</v>
      </c>
      <c r="D113" s="31" cm="1">
        <f t="array" ref="D113">IFERROR(ROWS(_xlfn.UNIQUE(_xlfn._xlws.FILTER($E$8:$E$108, ($D$8:$D$108=$AC$4) * ($Y$8:$Y$108=$Z$2)))), 0)</f>
        <v>0</v>
      </c>
      <c r="E113" s="31" cm="1">
        <f t="array" ref="E113">IFERROR(ROWS(_xlfn.UNIQUE(_xlfn._xlws.FILTER($E$8:$E$108, ($D$8:$D$108=$AC$4) * ISNUMBER(MATCH($Y$8:$Y$108, _xlfn.VSTACK($Z$3, $Z$5), 0))))), 0)</f>
        <v>0</v>
      </c>
      <c r="F113" s="31">
        <f>SUM(C113:E113)</f>
        <v>0</v>
      </c>
      <c r="G113" s="53">
        <f>SUMIFS($U$8:$U$108, $Y$8:$Y$108, $Z$4, $D$8:$D$108, $AC$4)</f>
        <v>0</v>
      </c>
      <c r="H113" s="53">
        <f>SUMIFS($U$8:$U$108, $Y$8:$Y$108, $Z$2, $D$8:$D$108, $AC$4)</f>
        <v>0</v>
      </c>
      <c r="I113" s="53" cm="1">
        <f t="array" ref="I113">SUM(SUMIFS($P$8:$P$108, $Y$8:$Y$108, _xlfn.VSTACK($Z$3, $Z$5), $D$8:$D$108, $AC$4))</f>
        <v>0</v>
      </c>
      <c r="J113" s="31">
        <f>SUM(G113:I113)</f>
        <v>0</v>
      </c>
      <c r="K113" s="50" cm="1">
        <f t="array" ref="K113">SUM(SUMIFS($K$8:$K$108, $Y$8:$Y$108, _xlfn.VSTACK($Z$2, $Z$4), $D$8:$D$108, $AC$4))</f>
        <v>0</v>
      </c>
      <c r="M113" s="1" cm="1">
        <f t="array" ref="M113">SUM(SUMIFS($H$8:$H$108, $Y$8:$Y$108, _xlfn.VSTACK($Z$2, $Z$4), $D$8:$D$108, $AC$4))</f>
        <v>0</v>
      </c>
      <c r="N113" s="1" cm="1">
        <f t="array" ref="N113">SUM(SUMIFS($F$8:$F$108, $Y$8:$Y$108, _xlfn.VSTACK($Z$2,$Z$4), $D$8:$D$108, $AC$4))-SUM(SUMIFS($G$8:$G$108, $Y$8:$Y$108, _xlfn.VSTACK($Z$2,$Z$4), $D$8:$D$108, $AC$4))</f>
        <v>0</v>
      </c>
      <c r="T113" s="2"/>
      <c r="U113" s="2"/>
      <c r="V113" s="140"/>
      <c r="X113" s="20" t="s">
        <v>2</v>
      </c>
      <c r="Y113" s="2">
        <f>SUMIF(D8:D62,"D",AA8:AA62)</f>
        <v>0</v>
      </c>
      <c r="Z113" s="1">
        <f>COUNTIFS(D8:D62,"D",B8:B62,1)+COUNTIFS(D8:D62,"D",Y8:Y62,"LO")</f>
        <v>0</v>
      </c>
      <c r="AA113" s="14">
        <f>SUMIF(D8:D62,"D",AB8:AB62)-Y113</f>
        <v>0</v>
      </c>
      <c r="AB113" s="15">
        <f>COUNTIFS(D8:D62,"D",B8:B62,"&lt;1",Y8:Y62,"IP")</f>
        <v>0</v>
      </c>
      <c r="AC113" s="9">
        <v>0</v>
      </c>
      <c r="AD113" s="2">
        <f t="shared" ref="AD113:AE115" si="41">Y113+AA113</f>
        <v>0</v>
      </c>
      <c r="AE113" s="15">
        <f t="shared" si="41"/>
        <v>0</v>
      </c>
    </row>
    <row r="114" spans="2:31" x14ac:dyDescent="0.35">
      <c r="B114" s="85" t="str">
        <f>AC5</f>
        <v>T</v>
      </c>
      <c r="C114" s="31" cm="1">
        <f t="array" ref="C114">IFERROR(ROWS(_xlfn.UNIQUE(_xlfn._xlws.FILTER($E$8:$E$108, ($D$8:$D$108=$AC$5) * ($Y$8:$Y$108=$Z$4)))), 0)</f>
        <v>0</v>
      </c>
      <c r="D114" s="31" cm="1">
        <f t="array" ref="D114">IFERROR(ROWS(_xlfn.UNIQUE(_xlfn._xlws.FILTER($E$8:$E$108, ($D$8:$D$108=$AC$5) * ($Y$8:$Y$108=$Z$2)))), 0)</f>
        <v>0</v>
      </c>
      <c r="E114" s="31" cm="1">
        <f t="array" ref="E114">IFERROR(ROWS(_xlfn.UNIQUE(_xlfn._xlws.FILTER($E$8:$E$108, ($D$8:$D$108=$AC$5) * ISNUMBER(MATCH($Y$8:$Y$108, _xlfn.VSTACK($Z$3, $Z$5), 0))))), 0)</f>
        <v>0</v>
      </c>
      <c r="F114" s="31">
        <f>SUM(C114:E114)</f>
        <v>0</v>
      </c>
      <c r="G114" s="53">
        <f>SUMIFS($U$8:$U$108, $Y$8:$Y$108, $Z$4, $D$8:$D$108, $AC$5)</f>
        <v>0</v>
      </c>
      <c r="H114" s="53">
        <f>SUMIFS($U$8:$U$108, $Y$8:$Y$108, $Z$2, $D$8:$D$108, $AC$5)</f>
        <v>0</v>
      </c>
      <c r="I114" s="53" cm="1">
        <f t="array" ref="I114">SUM(SUMIFS($P$8:$P$108, $Y$8:$Y$108, _xlfn.VSTACK($Z$3, $Z$5), $D$8:$D$108, $AC$5))</f>
        <v>0</v>
      </c>
      <c r="J114" s="31">
        <f>SUM(G114:I114)</f>
        <v>0</v>
      </c>
      <c r="K114" s="50" cm="1">
        <f t="array" ref="K114">SUM(SUMIFS($K$8:$K$108, $Y$8:$Y$108, _xlfn.VSTACK($Z$2, $Z$4), $D$8:$D$108, $AC$5))</f>
        <v>0</v>
      </c>
      <c r="M114" s="1" cm="1">
        <f t="array" ref="M114">SUM(SUMIFS($H$8:$H$108, $Y$8:$Y$108, _xlfn.VSTACK($Z$2, $Z$4), $D$8:$D$108, $AC$5))</f>
        <v>0</v>
      </c>
      <c r="N114" s="1" cm="1">
        <f t="array" ref="N114">SUM(SUMIFS($H$8:$H$108, $Y$8:$Y$108, _xlfn.VSTACK($Z$2, $Z$4), $D$8:$D$108, $AC$5))-M114</f>
        <v>0</v>
      </c>
      <c r="V114" s="140"/>
      <c r="X114" s="20" t="s">
        <v>60</v>
      </c>
      <c r="Y114" s="2">
        <f>SUMIF(D8:D62,"O",AA8:AA62)</f>
        <v>0</v>
      </c>
      <c r="Z114" s="1">
        <f>COUNTIFS(D8:D62,"O",B8:B62,1)+COUNTIFS(D8:D62,"O",Y8:Y62,"LO")</f>
        <v>0</v>
      </c>
      <c r="AA114" s="14">
        <f>SUMIF(D8:D62,"O",AB8:AB62)-Y114</f>
        <v>0</v>
      </c>
      <c r="AB114" s="15">
        <f>COUNTIFS(D8:D62,"O",B8:B62,"&lt;1",Y8:Y62,"IP")</f>
        <v>0</v>
      </c>
      <c r="AC114" s="9">
        <v>0</v>
      </c>
      <c r="AD114" s="2">
        <f t="shared" si="41"/>
        <v>0</v>
      </c>
      <c r="AE114" s="15">
        <f t="shared" si="41"/>
        <v>0</v>
      </c>
    </row>
    <row r="115" spans="2:31" ht="15" thickBot="1" x14ac:dyDescent="0.4">
      <c r="B115" s="86" t="s">
        <v>4</v>
      </c>
      <c r="C115" s="91">
        <f>SUM(C111:C114)</f>
        <v>0</v>
      </c>
      <c r="D115" s="91">
        <f>SUM(D111:D114)</f>
        <v>0</v>
      </c>
      <c r="E115" s="91">
        <f>SUM(E111:E114)</f>
        <v>0</v>
      </c>
      <c r="F115" s="91" t="e" cm="1" vm="2">
        <f t="array" ref="F115">ROWS(_xlfn.UNIQUE(_xlfn._xlws.FILTER(D8:E108, D8:D108&lt;&gt;"")))</f>
        <v>#VALUE!</v>
      </c>
      <c r="G115" s="92">
        <f>SUM(G111:G114)</f>
        <v>0</v>
      </c>
      <c r="H115" s="92">
        <f>SUM(H111:H114)</f>
        <v>0</v>
      </c>
      <c r="I115" s="92">
        <f>SUM(I111:I114)</f>
        <v>0</v>
      </c>
      <c r="J115" s="92">
        <f>SUM(J111:J114)</f>
        <v>0</v>
      </c>
      <c r="K115" s="92">
        <f>SUM(K111:K114)</f>
        <v>0</v>
      </c>
      <c r="M115" s="82">
        <f>SUM(M111:M114)</f>
        <v>0</v>
      </c>
      <c r="N115" s="82">
        <f>SUM(N111:N114)</f>
        <v>0</v>
      </c>
      <c r="X115" s="21" t="s">
        <v>61</v>
      </c>
      <c r="Y115" s="8">
        <f>SUM(Y112:Y114)</f>
        <v>0</v>
      </c>
      <c r="Z115" s="7">
        <f>SUM(Z112:Z114)</f>
        <v>0</v>
      </c>
      <c r="AA115" s="8">
        <f>SUM(AA112:AA114)</f>
        <v>0</v>
      </c>
      <c r="AB115" s="7">
        <f>SUM(AB112:AB114)</f>
        <v>0</v>
      </c>
      <c r="AC115" s="8">
        <f>SUM(AC112:AC114)</f>
        <v>0</v>
      </c>
      <c r="AD115" s="8">
        <f t="shared" si="41"/>
        <v>0</v>
      </c>
      <c r="AE115" s="7">
        <f t="shared" si="41"/>
        <v>0</v>
      </c>
    </row>
  </sheetData>
  <sortState xmlns:xlrd2="http://schemas.microsoft.com/office/spreadsheetml/2017/richdata2" ref="A8:W55">
    <sortCondition descending="1" ref="D8:D55"/>
    <sortCondition ref="E8:E55"/>
  </sortState>
  <phoneticPr fontId="7" type="noConversion"/>
  <conditionalFormatting sqref="A8:A35 W9:W108 Y9:Y108 W18:Y108 Q55:Q91 W8:Y15">
    <cfRule type="expression" dxfId="55" priority="286">
      <formula>$Y8=$Z$2</formula>
    </cfRule>
  </conditionalFormatting>
  <conditionalFormatting sqref="A36:A54 A55:B108 S55:U108 L57:L86 E91:F108 L87:O91 L92:Q99 K100:Q108 E57:E90 F56:F90">
    <cfRule type="expression" dxfId="54" priority="39">
      <formula>$Y36=$Z$5</formula>
    </cfRule>
  </conditionalFormatting>
  <conditionalFormatting sqref="A7:Y7 B8:C24 B8:B108 C25:C108 A36:A54 A55:B108 S55:U108 L57:L86 E91:F108 L87:O91 L92:Q99 K100:Q108 Y50:Y108 E57:E90 F56:F90">
    <cfRule type="expression" dxfId="53" priority="133">
      <formula>$Y7=$Z$2</formula>
    </cfRule>
  </conditionalFormatting>
  <conditionalFormatting sqref="K8:K99 F8:F55">
    <cfRule type="expression" dxfId="52" priority="2">
      <formula>$O8="Finished"</formula>
    </cfRule>
    <cfRule type="expression" dxfId="51" priority="3">
      <formula>$Y8=$Z$3</formula>
    </cfRule>
    <cfRule type="expression" dxfId="50" priority="4">
      <formula>$Y8=$Z$2</formula>
    </cfRule>
    <cfRule type="expression" dxfId="49" priority="1">
      <formula>$Y8=$Z$5</formula>
    </cfRule>
  </conditionalFormatting>
  <conditionalFormatting sqref="F8:J9 M8:O86 F8:F54 G10:J108">
    <cfRule type="expression" dxfId="48" priority="12">
      <formula>$O8="Finished"</formula>
    </cfRule>
    <cfRule type="expression" dxfId="47" priority="13">
      <formula>$Y8=$Z$3</formula>
    </cfRule>
    <cfRule type="expression" dxfId="46" priority="14">
      <formula>$Y8=$Z$2</formula>
    </cfRule>
  </conditionalFormatting>
  <conditionalFormatting sqref="K4">
    <cfRule type="expression" dxfId="45" priority="224">
      <formula>$Y4=$Z$2</formula>
    </cfRule>
    <cfRule type="expression" dxfId="44" priority="223">
      <formula>$Y4=$Z$3</formula>
    </cfRule>
    <cfRule type="expression" dxfId="43" priority="222">
      <formula>$P4="Finished"</formula>
    </cfRule>
    <cfRule type="expression" dxfId="42" priority="218">
      <formula>$P4="Finished"</formula>
    </cfRule>
    <cfRule type="expression" dxfId="41" priority="220">
      <formula>$Y4=$Z$2</formula>
    </cfRule>
    <cfRule type="expression" dxfId="40" priority="219">
      <formula>$Y4=$Z$3</formula>
    </cfRule>
    <cfRule type="expression" dxfId="39" priority="221">
      <formula>$Y4=$Z$5</formula>
    </cfRule>
    <cfRule type="expression" dxfId="38" priority="217">
      <formula>$Y4=$Z$5</formula>
    </cfRule>
  </conditionalFormatting>
  <conditionalFormatting sqref="K5:K6 T4:T5">
    <cfRule type="expression" dxfId="37" priority="228">
      <formula>$Y2=$Z$5</formula>
    </cfRule>
  </conditionalFormatting>
  <conditionalFormatting sqref="K6">
    <cfRule type="expression" dxfId="36" priority="227">
      <formula>$Y4=$Z$2</formula>
    </cfRule>
    <cfRule type="expression" dxfId="35" priority="226">
      <formula>$Y4=$Z$3</formula>
    </cfRule>
    <cfRule type="expression" dxfId="34" priority="225">
      <formula>$P4="Finished"</formula>
    </cfRule>
    <cfRule type="expression" dxfId="33" priority="229">
      <formula>$P4="Finished"</formula>
    </cfRule>
    <cfRule type="expression" dxfId="32" priority="230">
      <formula>$Y4=$Z$3</formula>
    </cfRule>
    <cfRule type="expression" dxfId="31" priority="231">
      <formula>$Y4=$Z$2</formula>
    </cfRule>
  </conditionalFormatting>
  <conditionalFormatting sqref="K111:K114">
    <cfRule type="expression" dxfId="30" priority="22">
      <formula>$Y109=$Z$2</formula>
    </cfRule>
    <cfRule type="expression" dxfId="29" priority="18">
      <formula>$Y109=$Z$3</formula>
    </cfRule>
    <cfRule type="expression" dxfId="28" priority="19">
      <formula>$Y109=$Z$2</formula>
    </cfRule>
    <cfRule type="expression" dxfId="27" priority="20">
      <formula>$O109="Finished"</formula>
    </cfRule>
    <cfRule type="expression" dxfId="26" priority="21">
      <formula>$Y109=$Z$3</formula>
    </cfRule>
    <cfRule type="expression" dxfId="25" priority="16">
      <formula>$Y109=$Z$5</formula>
    </cfRule>
    <cfRule type="expression" dxfId="24" priority="17">
      <formula>$O109="Finished"</formula>
    </cfRule>
  </conditionalFormatting>
  <conditionalFormatting sqref="M55:O86">
    <cfRule type="expression" dxfId="23" priority="31">
      <formula>$Y55=$Z$5</formula>
    </cfRule>
  </conditionalFormatting>
  <conditionalFormatting sqref="Q8:Q54 S8:U54 W9:W108 Y9:Y108">
    <cfRule type="expression" dxfId="22" priority="8">
      <formula>$Y8=$Z$2</formula>
    </cfRule>
  </conditionalFormatting>
  <conditionalFormatting sqref="Q8:Q54 S8:U54">
    <cfRule type="expression" dxfId="21" priority="15">
      <formula>$Y8=#REF!</formula>
    </cfRule>
  </conditionalFormatting>
  <conditionalFormatting sqref="Q8:Q91 S8:U54 W8:Y15 W9:W108 Y9:Y108 W18:Y108">
    <cfRule type="expression" dxfId="20" priority="7">
      <formula>$Y8=$Z$3</formula>
    </cfRule>
  </conditionalFormatting>
  <conditionalFormatting sqref="Q8:Q91">
    <cfRule type="expression" dxfId="19" priority="6">
      <formula>$O8="Finished"</formula>
    </cfRule>
  </conditionalFormatting>
  <conditionalFormatting sqref="R4:R5 T4:T5 K5">
    <cfRule type="expression" dxfId="18" priority="233">
      <formula>$O2="Finished"</formula>
    </cfRule>
    <cfRule type="expression" dxfId="17" priority="234">
      <formula>$Y2=$Z$3</formula>
    </cfRule>
    <cfRule type="expression" dxfId="16" priority="235">
      <formula>$Y2=$Z$2</formula>
    </cfRule>
    <cfRule type="expression" dxfId="15" priority="236">
      <formula>$O2="Finished"</formula>
    </cfRule>
    <cfRule type="expression" dxfId="14" priority="237">
      <formula>$Y2=$Z$3</formula>
    </cfRule>
    <cfRule type="expression" dxfId="13" priority="238">
      <formula>$Y2=$Z$2</formula>
    </cfRule>
  </conditionalFormatting>
  <conditionalFormatting sqref="R4:R5">
    <cfRule type="expression" dxfId="12" priority="232">
      <formula>$Y2=$Z$5</formula>
    </cfRule>
    <cfRule type="expression" dxfId="11" priority="253">
      <formula>$Y2=$Z$5</formula>
    </cfRule>
  </conditionalFormatting>
  <conditionalFormatting sqref="S8:U54">
    <cfRule type="expression" dxfId="10" priority="5">
      <formula>$O8="Finished"</formula>
    </cfRule>
  </conditionalFormatting>
  <conditionalFormatting sqref="S55:U108 L57:L86 E91:F108 L87:O91 L92:Q99 K100:Q108 A8:C108 A7:Y7 E57:E90 F56:F90">
    <cfRule type="expression" dxfId="9" priority="132">
      <formula>$Y7=$Z$3</formula>
    </cfRule>
  </conditionalFormatting>
  <conditionalFormatting sqref="S55:U108 L57:L86 E91:F108 L87:O91 L92:Q99 K100:Q108 E57:E90 F56:F90">
    <cfRule type="expression" dxfId="8" priority="125">
      <formula>$O55="Finished"</formula>
    </cfRule>
  </conditionalFormatting>
  <conditionalFormatting sqref="W8:W108">
    <cfRule type="expression" dxfId="7" priority="9">
      <formula>$Y8=$Z$5</formula>
    </cfRule>
    <cfRule type="expression" dxfId="6" priority="10">
      <formula>$Y8=$Z$2</formula>
    </cfRule>
  </conditionalFormatting>
  <conditionalFormatting sqref="W8:Y15 W9:W108 W18:Y49 Y9:Y108 F8:J9 M8:O54 F8:F54 G10:J108">
    <cfRule type="expression" dxfId="5" priority="11">
      <formula>$Y8=#REF!</formula>
    </cfRule>
  </conditionalFormatting>
  <conditionalFormatting sqref="W50:Y54 W50:W108 Y50:Y108 B8:C24 B8:B108 C25:C108">
    <cfRule type="expression" dxfId="4" priority="314">
      <formula>$Y8=#REF!</formula>
    </cfRule>
  </conditionalFormatting>
  <conditionalFormatting sqref="W55:Y108 A8:A35 W50:W62 Q55:Q91">
    <cfRule type="expression" dxfId="3" priority="285">
      <formula>$Y8=$Z$5</formula>
    </cfRule>
  </conditionalFormatting>
  <conditionalFormatting sqref="X16">
    <cfRule type="expression" dxfId="2" priority="343">
      <formula>$Y17=$Z$2</formula>
    </cfRule>
    <cfRule type="expression" dxfId="1" priority="345">
      <formula>$Y17=$Z$3</formula>
    </cfRule>
    <cfRule type="expression" dxfId="0" priority="347">
      <formula>$Y17=#REF!</formula>
    </cfRule>
  </conditionalFormatting>
  <dataValidations count="5">
    <dataValidation type="list" showInputMessage="1" showErrorMessage="1" sqref="M8:M108" xr:uid="{00000000-0002-0000-0100-000000000000}">
      <formula1>team_members</formula1>
    </dataValidation>
    <dataValidation type="list" allowBlank="1" showInputMessage="1" showErrorMessage="1" sqref="N8:N108" xr:uid="{00000000-0002-0000-0100-000002000000}">
      <formula1>team_members</formula1>
    </dataValidation>
    <dataValidation type="list" allowBlank="1" showInputMessage="1" showErrorMessage="1" sqref="O8:O108" xr:uid="{00000000-0002-0000-0100-000003000000}">
      <formula1>"Continued, Finished"</formula1>
    </dataValidation>
    <dataValidation type="list" allowBlank="1" showInputMessage="1" showErrorMessage="1" sqref="W8:W108" xr:uid="{00000000-0002-0000-0100-000005000000}">
      <formula1>difficulty_level</formula1>
    </dataValidation>
    <dataValidation type="list" allowBlank="1" showInputMessage="1" showErrorMessage="1" sqref="Y8:Y108" xr:uid="{C323A17E-CA7A-4385-A7D5-0EDBA3E5CE74}">
      <formula1>$Z$2:$Z$5</formula1>
    </dataValidation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:R43"/>
  <sheetViews>
    <sheetView topLeftCell="A23" workbookViewId="0">
      <selection activeCell="P35" sqref="P35:R39"/>
    </sheetView>
  </sheetViews>
  <sheetFormatPr defaultRowHeight="14.5" x14ac:dyDescent="0.35"/>
  <cols>
    <col min="4" max="4" width="8.7265625" style="17"/>
    <col min="9" max="10" width="12.36328125" bestFit="1" customWidth="1"/>
    <col min="11" max="11" width="12.08984375" bestFit="1" customWidth="1"/>
    <col min="12" max="12" width="14.453125" bestFit="1" customWidth="1"/>
    <col min="13" max="13" width="6.90625" bestFit="1" customWidth="1"/>
    <col min="14" max="14" width="10.54296875" bestFit="1" customWidth="1"/>
  </cols>
  <sheetData>
    <row r="1" spans="9:18" x14ac:dyDescent="0.35">
      <c r="P1" t="s">
        <v>119</v>
      </c>
      <c r="Q1" t="s">
        <v>120</v>
      </c>
      <c r="R1" t="s">
        <v>121</v>
      </c>
    </row>
    <row r="2" spans="9:18" x14ac:dyDescent="0.35">
      <c r="I2" s="25" t="s">
        <v>1</v>
      </c>
      <c r="J2" t="s">
        <v>126</v>
      </c>
      <c r="K2" t="s">
        <v>123</v>
      </c>
      <c r="L2" t="s">
        <v>124</v>
      </c>
      <c r="M2" t="s">
        <v>131</v>
      </c>
      <c r="N2" t="s">
        <v>132</v>
      </c>
      <c r="O2">
        <v>500</v>
      </c>
      <c r="P2" t="str">
        <f>"$0-"&amp;O2</f>
        <v>$0-500</v>
      </c>
      <c r="Q2" cm="1">
        <f t="array" ref="Q2:Q10">FREQUENCY(Production_Center!K21:K49,Sheet1!$O$2:$O$9)</f>
        <v>29</v>
      </c>
      <c r="R2" cm="1">
        <f t="array" ref="R2:R10">FREQUENCY(Production_Center!K8:K20,Sheet1!$O$2:$O$9)</f>
        <v>13</v>
      </c>
    </row>
    <row r="3" spans="9:18" x14ac:dyDescent="0.35">
      <c r="I3" s="11" t="s">
        <v>190</v>
      </c>
      <c r="J3" s="51">
        <v>0</v>
      </c>
      <c r="K3" s="144"/>
      <c r="L3" s="114" t="e">
        <v>#DIV/0!</v>
      </c>
      <c r="M3" s="144">
        <v>0</v>
      </c>
      <c r="N3" s="114" t="e">
        <v>#DIV/0!</v>
      </c>
      <c r="O3">
        <v>2000</v>
      </c>
      <c r="P3" t="str">
        <f>"$"&amp;O2+1&amp;"-"&amp;O3</f>
        <v>$501-2000</v>
      </c>
      <c r="Q3">
        <v>0</v>
      </c>
      <c r="R3">
        <v>0</v>
      </c>
    </row>
    <row r="4" spans="9:18" x14ac:dyDescent="0.35">
      <c r="I4" s="28" t="s">
        <v>190</v>
      </c>
      <c r="J4" s="51">
        <v>0</v>
      </c>
      <c r="K4" s="144"/>
      <c r="L4" s="114" t="e">
        <v>#DIV/0!</v>
      </c>
      <c r="M4" s="144">
        <v>0</v>
      </c>
      <c r="N4" s="114" t="e">
        <v>#DIV/0!</v>
      </c>
      <c r="O4">
        <v>5000</v>
      </c>
      <c r="P4" t="str">
        <f t="shared" ref="P4:P9" si="0">"$"&amp;O3+1&amp;"-"&amp;O4</f>
        <v>$2001-5000</v>
      </c>
      <c r="Q4">
        <v>0</v>
      </c>
      <c r="R4">
        <v>0</v>
      </c>
    </row>
    <row r="5" spans="9:18" x14ac:dyDescent="0.35">
      <c r="I5" s="11" t="s">
        <v>5</v>
      </c>
      <c r="J5" s="51">
        <v>0</v>
      </c>
      <c r="K5" s="144"/>
      <c r="L5" s="114" t="e">
        <v>#DIV/0!</v>
      </c>
      <c r="M5" s="144">
        <v>0</v>
      </c>
      <c r="N5" s="114" t="e">
        <v>#DIV/0!</v>
      </c>
      <c r="O5">
        <v>10000</v>
      </c>
      <c r="P5" t="str">
        <f t="shared" si="0"/>
        <v>$5001-10000</v>
      </c>
      <c r="Q5">
        <v>0</v>
      </c>
      <c r="R5">
        <v>0</v>
      </c>
    </row>
    <row r="6" spans="9:18" x14ac:dyDescent="0.35">
      <c r="O6">
        <v>15000</v>
      </c>
      <c r="P6" t="str">
        <f t="shared" si="0"/>
        <v>$10001-15000</v>
      </c>
      <c r="Q6">
        <v>0</v>
      </c>
      <c r="R6">
        <v>0</v>
      </c>
    </row>
    <row r="7" spans="9:18" x14ac:dyDescent="0.35">
      <c r="O7">
        <v>25000</v>
      </c>
      <c r="P7" t="str">
        <f>"$"&amp;O6+1&amp;"-"&amp;O7</f>
        <v>$15001-25000</v>
      </c>
      <c r="Q7">
        <v>0</v>
      </c>
      <c r="R7">
        <v>0</v>
      </c>
    </row>
    <row r="8" spans="9:18" x14ac:dyDescent="0.35">
      <c r="O8">
        <v>50000</v>
      </c>
      <c r="P8" t="str">
        <f t="shared" si="0"/>
        <v>$25001-50000</v>
      </c>
      <c r="Q8">
        <v>0</v>
      </c>
      <c r="R8">
        <v>0</v>
      </c>
    </row>
    <row r="9" spans="9:18" x14ac:dyDescent="0.35">
      <c r="O9">
        <v>75000</v>
      </c>
      <c r="P9" t="str">
        <f t="shared" si="0"/>
        <v>$50001-75000</v>
      </c>
      <c r="Q9">
        <v>0</v>
      </c>
      <c r="R9">
        <v>0</v>
      </c>
    </row>
    <row r="10" spans="9:18" x14ac:dyDescent="0.35">
      <c r="P10" t="str">
        <f>"$"&amp;O9+1&amp;"+"&amp;O10</f>
        <v>$75001+</v>
      </c>
      <c r="Q10">
        <v>0</v>
      </c>
      <c r="R10">
        <v>0</v>
      </c>
    </row>
    <row r="28" spans="15:18" ht="15" thickBot="1" x14ac:dyDescent="0.4">
      <c r="O28" s="118" t="s">
        <v>125</v>
      </c>
      <c r="P28" s="118" t="s">
        <v>126</v>
      </c>
      <c r="Q28" s="118" t="s">
        <v>127</v>
      </c>
      <c r="R28" s="118" t="s">
        <v>128</v>
      </c>
    </row>
    <row r="29" spans="15:18" x14ac:dyDescent="0.35">
      <c r="O29" s="119"/>
      <c r="P29" s="122"/>
      <c r="Q29" s="120"/>
      <c r="R29" s="121"/>
    </row>
    <row r="30" spans="15:18" x14ac:dyDescent="0.35">
      <c r="O30" s="119"/>
      <c r="P30" s="122"/>
      <c r="Q30" s="120"/>
      <c r="R30" s="121"/>
    </row>
    <row r="31" spans="15:18" x14ac:dyDescent="0.35">
      <c r="O31" s="119"/>
      <c r="P31" s="122"/>
      <c r="Q31" s="120"/>
      <c r="R31" s="121"/>
    </row>
    <row r="32" spans="15:18" x14ac:dyDescent="0.35">
      <c r="O32" s="119"/>
      <c r="P32" s="122"/>
      <c r="Q32" s="120"/>
      <c r="R32" s="121"/>
    </row>
    <row r="34" spans="15:18" ht="15" thickBot="1" x14ac:dyDescent="0.4">
      <c r="O34" s="118" t="s">
        <v>129</v>
      </c>
      <c r="P34" s="118" t="s">
        <v>126</v>
      </c>
      <c r="Q34" s="118" t="s">
        <v>130</v>
      </c>
      <c r="R34" s="118" t="s">
        <v>128</v>
      </c>
    </row>
    <row r="35" spans="15:18" x14ac:dyDescent="0.35">
      <c r="O35" s="119"/>
      <c r="P35" s="122"/>
      <c r="Q35" s="120"/>
      <c r="R35" s="121"/>
    </row>
    <row r="36" spans="15:18" x14ac:dyDescent="0.35">
      <c r="O36" s="119"/>
      <c r="P36" s="122"/>
      <c r="Q36" s="120"/>
      <c r="R36" s="121"/>
    </row>
    <row r="37" spans="15:18" x14ac:dyDescent="0.35">
      <c r="O37" s="119"/>
      <c r="P37" s="122"/>
      <c r="Q37" s="120"/>
      <c r="R37" s="121"/>
    </row>
    <row r="38" spans="15:18" x14ac:dyDescent="0.35">
      <c r="O38" s="119"/>
      <c r="P38" s="122"/>
      <c r="Q38" s="120"/>
      <c r="R38" s="121"/>
    </row>
    <row r="39" spans="15:18" x14ac:dyDescent="0.35">
      <c r="O39" s="119"/>
      <c r="P39" s="122"/>
      <c r="Q39" s="120"/>
      <c r="R39" s="121"/>
    </row>
    <row r="40" spans="15:18" x14ac:dyDescent="0.35">
      <c r="O40" s="123"/>
      <c r="P40" s="120"/>
      <c r="Q40" s="120"/>
      <c r="R40" s="120"/>
    </row>
    <row r="41" spans="15:18" x14ac:dyDescent="0.35">
      <c r="O41" s="12" t="s">
        <v>133</v>
      </c>
      <c r="P41" s="12" t="s">
        <v>126</v>
      </c>
      <c r="Q41" s="12" t="s">
        <v>123</v>
      </c>
      <c r="R41" s="12" t="s">
        <v>131</v>
      </c>
    </row>
    <row r="42" spans="15:18" x14ac:dyDescent="0.35">
      <c r="O42" t="s">
        <v>22</v>
      </c>
      <c r="P42" s="124">
        <v>446917.5799999999</v>
      </c>
      <c r="Q42">
        <v>29</v>
      </c>
      <c r="R42">
        <v>32.550000000000004</v>
      </c>
    </row>
    <row r="43" spans="15:18" x14ac:dyDescent="0.35">
      <c r="O43" t="s">
        <v>24</v>
      </c>
      <c r="P43" s="124">
        <v>15334.830000000002</v>
      </c>
      <c r="Q43">
        <v>13</v>
      </c>
      <c r="R43">
        <v>10.15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C5EB-13FB-4307-A19B-65EB78FB9151}">
  <dimension ref="A1:AH77"/>
  <sheetViews>
    <sheetView workbookViewId="0">
      <selection activeCell="A19" sqref="A19"/>
    </sheetView>
  </sheetViews>
  <sheetFormatPr defaultRowHeight="14.5" x14ac:dyDescent="0.35"/>
  <cols>
    <col min="6" max="8" width="32.7265625" customWidth="1"/>
  </cols>
  <sheetData>
    <row r="1" spans="1:34" ht="18.5" x14ac:dyDescent="0.45">
      <c r="A1" s="125" t="s">
        <v>134</v>
      </c>
    </row>
    <row r="2" spans="1:34" x14ac:dyDescent="0.35">
      <c r="A2" s="126" t="s">
        <v>135</v>
      </c>
    </row>
    <row r="4" spans="1:34" x14ac:dyDescent="0.35">
      <c r="A4" s="127" t="s">
        <v>136</v>
      </c>
      <c r="F4" s="127" t="s">
        <v>139</v>
      </c>
      <c r="AB4" s="12" t="s">
        <v>180</v>
      </c>
    </row>
    <row r="5" spans="1:34" x14ac:dyDescent="0.35">
      <c r="A5" t="s">
        <v>27</v>
      </c>
      <c r="B5" t="s">
        <v>69</v>
      </c>
      <c r="C5" t="s">
        <v>28</v>
      </c>
      <c r="D5" t="s">
        <v>137</v>
      </c>
      <c r="F5" s="12" t="s">
        <v>29</v>
      </c>
      <c r="G5" s="12" t="s">
        <v>28</v>
      </c>
      <c r="H5" s="12" t="s">
        <v>137</v>
      </c>
      <c r="AB5" s="12" t="s">
        <v>29</v>
      </c>
      <c r="AC5" s="12" t="s">
        <v>28</v>
      </c>
      <c r="AD5" s="12" t="s">
        <v>156</v>
      </c>
      <c r="AE5" s="12" t="s">
        <v>182</v>
      </c>
      <c r="AF5" t="s">
        <v>29</v>
      </c>
      <c r="AG5" t="s">
        <v>156</v>
      </c>
      <c r="AH5" t="s">
        <v>28</v>
      </c>
    </row>
    <row r="6" spans="1:34" x14ac:dyDescent="0.35">
      <c r="A6" t="s">
        <v>138</v>
      </c>
      <c r="B6">
        <f>COUNTIF(Production_Center!D8:D49,"Q")</f>
        <v>0</v>
      </c>
      <c r="C6">
        <f>SUMIF(Production_Center!D8:D49,"Q",Production_Center!K8:K49)</f>
        <v>0</v>
      </c>
      <c r="D6">
        <f>SUMIF(Production_Center!D8:D49,"Q",Production_Center!U8:U49)</f>
        <v>0</v>
      </c>
      <c r="F6" t="e" cm="1" vm="2">
        <f t="array" ref="F6">_xlfn.LET(_xlpm.c,Production_Center!L8:L49,_xlpm.v,Production_Center!K8:K49,_xlpm.u,_xlfn.UNIQUE(_xlfn._xlws.FILTER(_xlpm.c,_xlpm.c&lt;&gt;"")),_xlpm.vs,_xlfn.MAP(_xlpm.u,_xlfn.LAMBDA(_xlpm.x,SUMIF(_xlpm.c,_xlpm.x,_xlpm.v))),_xlfn.TAKE(_xlfn.SORTBY(_xlpm.u,_xlpm.vs,-1),10))</f>
        <v>#VALUE!</v>
      </c>
      <c r="G6" t="e" cm="1" vm="2">
        <f t="array" ref="G6">_xlfn.LET(_xlpm.c,Production_Center!L8:L49,_xlpm.v,Production_Center!K8:K49,_xlpm.u,_xlfn.UNIQUE(_xlfn._xlws.FILTER(_xlpm.c,_xlpm.c&lt;&gt;"")),_xlpm.vs,_xlfn.MAP(_xlpm.u,_xlfn.LAMBDA(_xlpm.x,SUMIF(_xlpm.c,_xlpm.x,_xlpm.v))),_xlfn.TAKE(_xlfn.SORTBY(_xlpm.vs,_xlpm.vs,-1),10))</f>
        <v>#VALUE!</v>
      </c>
      <c r="H6" t="e" cm="1" vm="2">
        <f t="array" ref="H6">_xlfn.LET(_xlpm.c,Production_Center!L8:L49,_xlpm.v,Production_Center!K8:K49,_xlpm.t,Production_Center!U8:U49,_xlpm.u,_xlfn.UNIQUE(_xlfn._xlws.FILTER(_xlpm.c,_xlpm.c&lt;&gt;"")),_xlpm.vs,_xlfn.MAP(_xlpm.u,_xlfn.LAMBDA(_xlpm.x,SUMIF(_xlpm.c,_xlpm.x,_xlpm.v))),_xlpm.ts,_xlfn.MAP(_xlpm.u,_xlfn.LAMBDA(_xlpm.x,SUMIF(_xlpm.c,_xlpm.x,_xlpm.t))),_xlfn.TAKE(_xlfn.SORTBY(_xlpm.ts,_xlpm.vs,-1),10))</f>
        <v>#VALUE!</v>
      </c>
      <c r="AB6" t="e" cm="1" vm="2">
        <f t="array" ref="AB6">_xlfn.LET(_xlpm.t,Production_Center!D8:D49,_xlpm.c,Production_Center!L8:L49,_xlpm.v,Production_Center!K8:K49,_xlpm.m,(_xlpm.t="O")*ISNUMBER(_xlpm.v)*(_xlpm.c&lt;&gt;""),_xlpm.uc,_xlfn.UNIQUE(_xlfn._xlws.FILTER(_xlpm.c,_xlpm.m=1)),_xlpm.tv,_xlfn.MAP(_xlpm.uc,_xlfn.LAMBDA(_xlpm.x,SUMIFS(_xlpm.v,_xlpm.c,_xlpm.x,_xlpm.t,"O"))),_xlpm.tc,_xlfn.MAP(_xlpm.uc,_xlfn.LAMBDA(_xlpm.x,COUNTIFS(_xlpm.c,_xlpm.x,_xlpm.t,"O"))),_xlpm.so,_xlfn.SORTBY(_xlfn.HSTACK(_xlpm.uc,_xlpm.tv,_xlpm.tc),_xlpm.tv,-1),_xlpm.top4n,INDEX(_xlfn.TAKE(_xlpm.so,4),,1),_xlpm.top4v,INDEX(_xlfn.TAKE(_xlpm.so,4),,2),_xlpm.top4c,INDEX(_xlfn.TAKE(_xlpm.so,4),,3),_xlpm.rest,_xlfn.DROP(_xlpm.so,4),_xlfn.HSTACK(_xlfn.VSTACK(_xlpm.top4n,"OTHER CUSTOMERS"),_xlfn.VSTACK(_xlpm.top4v,SUM(INDEX(_xlpm.rest,,2))),_xlfn.VSTACK(_xlpm.top4c,SUM(INDEX(_xlpm.rest,,3)))))</f>
        <v>#VALUE!</v>
      </c>
      <c r="AE6" s="137" t="e">
        <f>AC6/SUM($AC$6:$AC$10)</f>
        <v>#DIV/0!</v>
      </c>
      <c r="AF6" t="e" vm="1">
        <f>AB6</f>
        <v>#VALUE!</v>
      </c>
      <c r="AG6">
        <f>AD6</f>
        <v>0</v>
      </c>
      <c r="AH6">
        <f>AC6</f>
        <v>0</v>
      </c>
    </row>
    <row r="7" spans="1:34" x14ac:dyDescent="0.35">
      <c r="A7" t="s">
        <v>60</v>
      </c>
      <c r="B7">
        <f>COUNTIF(Production_Center!D8:D49,"O")</f>
        <v>0</v>
      </c>
      <c r="C7">
        <f>SUMIF(Production_Center!D8:D49,"O",Production_Center!K8:K49)</f>
        <v>0</v>
      </c>
      <c r="D7">
        <f>SUMIF(Production_Center!D8:D49,"O",Production_Center!U8:U49)</f>
        <v>0</v>
      </c>
      <c r="AE7" s="137" t="e">
        <f>AC7/SUM($AC$6:$AC$10)</f>
        <v>#DIV/0!</v>
      </c>
      <c r="AF7">
        <f>AB7</f>
        <v>0</v>
      </c>
      <c r="AG7">
        <f>AD7</f>
        <v>0</v>
      </c>
      <c r="AH7">
        <f>AC7</f>
        <v>0</v>
      </c>
    </row>
    <row r="8" spans="1:34" x14ac:dyDescent="0.35">
      <c r="AE8" s="137" t="e">
        <f>AC8/SUM($AC$6:$AC$10)</f>
        <v>#DIV/0!</v>
      </c>
      <c r="AF8">
        <f>AB8</f>
        <v>0</v>
      </c>
      <c r="AG8">
        <f>AD8</f>
        <v>0</v>
      </c>
      <c r="AH8">
        <f>AC8</f>
        <v>0</v>
      </c>
    </row>
    <row r="9" spans="1:34" x14ac:dyDescent="0.35">
      <c r="AE9" s="137" t="e">
        <f>AC9/SUM($AC$6:$AC$10)</f>
        <v>#DIV/0!</v>
      </c>
      <c r="AF9">
        <f>AB9</f>
        <v>0</v>
      </c>
      <c r="AG9">
        <f>AD9</f>
        <v>0</v>
      </c>
      <c r="AH9">
        <f>AC9</f>
        <v>0</v>
      </c>
    </row>
    <row r="10" spans="1:34" x14ac:dyDescent="0.35">
      <c r="AE10" s="137" t="e">
        <f>AC10/SUM($AC$6:$AC$10)</f>
        <v>#DIV/0!</v>
      </c>
      <c r="AF10">
        <f>AB10</f>
        <v>0</v>
      </c>
      <c r="AG10">
        <f>AD10</f>
        <v>0</v>
      </c>
      <c r="AH10">
        <f>AC10</f>
        <v>0</v>
      </c>
    </row>
    <row r="19" spans="1:34" x14ac:dyDescent="0.35">
      <c r="A19" s="142"/>
      <c r="B19" s="142"/>
      <c r="C19" s="142"/>
      <c r="D19" s="142"/>
    </row>
    <row r="20" spans="1:34" x14ac:dyDescent="0.35">
      <c r="A20" s="143"/>
      <c r="B20" s="143"/>
      <c r="C20" s="143"/>
      <c r="D20" s="142"/>
      <c r="N20" s="127" t="s">
        <v>140</v>
      </c>
    </row>
    <row r="21" spans="1:34" x14ac:dyDescent="0.35">
      <c r="A21" s="142"/>
      <c r="B21" s="142"/>
      <c r="C21" s="142"/>
      <c r="D21" s="142"/>
      <c r="N21" s="12" t="s">
        <v>27</v>
      </c>
      <c r="O21" s="12" t="s">
        <v>137</v>
      </c>
      <c r="P21" s="12" t="s">
        <v>28</v>
      </c>
      <c r="Q21" s="12" t="s">
        <v>141</v>
      </c>
      <c r="S21" s="12" t="s">
        <v>141</v>
      </c>
      <c r="T21" s="12" t="s">
        <v>137</v>
      </c>
      <c r="U21" s="12" t="s">
        <v>27</v>
      </c>
      <c r="V21" s="12" t="s">
        <v>28</v>
      </c>
      <c r="W21" s="12" t="s">
        <v>142</v>
      </c>
      <c r="X21" s="12" t="s">
        <v>137</v>
      </c>
      <c r="Y21" s="12" t="s">
        <v>143</v>
      </c>
      <c r="Z21" s="12" t="s">
        <v>137</v>
      </c>
    </row>
    <row r="22" spans="1:34" x14ac:dyDescent="0.35">
      <c r="N22" t="e" cm="1" vm="2">
        <f t="array" ref="N22">_xlfn._xlws.FILTER(Production_Center!D8:D49,(Production_Center!U8:U49&lt;&gt;"")*(Production_Center!K8:K49&lt;&gt;"")*(Production_Center!K8:K49&lt;&gt;0))</f>
        <v>#VALUE!</v>
      </c>
      <c r="O22" t="e" cm="1" vm="2">
        <f t="array" ref="O22">_xlfn._xlws.FILTER(Production_Center!U8:U49,(Production_Center!U8:U49&lt;&gt;"")*(Production_Center!K8:K49&lt;&gt;"")*(Production_Center!K8:K49&lt;&gt;0))</f>
        <v>#VALUE!</v>
      </c>
      <c r="P22" t="e" cm="1" vm="2">
        <f t="array" ref="P22">_xlfn._xlws.FILTER(Production_Center!K8:K49,(Production_Center!U8:U49&lt;&gt;"")*(Production_Center!K8:K49&lt;&gt;"")*(Production_Center!K8:K49&lt;&gt;0))</f>
        <v>#VALUE!</v>
      </c>
      <c r="Q22" t="e" cm="1" vm="1">
        <f t="array" ref="Q22:Q57">IF(P22:P57="","",_xlfn.IFS(P22:P57&lt;=500,"$0-500",P22:P57&lt;=2000,"$501-2K",P22:P57&lt;=5000,"$2K-5K",P22:P57&lt;=10000,"$5K-10K",P22:P57&lt;=25000,"$10K-25K",TRUE,"$25K+"))</f>
        <v>#VALUE!</v>
      </c>
      <c r="S22" t="e" cm="1" vm="1">
        <f t="array" ref="S22:S57">_xlfn.ANCHORARRAY(Q22)</f>
        <v>#VALUE!</v>
      </c>
      <c r="T22" t="e" cm="1" vm="1">
        <f t="array" ref="T22">_xlfn.ANCHORARRAY(O22)</f>
        <v>#VALUE!</v>
      </c>
      <c r="U22" t="e" cm="1" vm="1">
        <f t="array" ref="U22">_xlfn.ANCHORARRAY(N22)</f>
        <v>#VALUE!</v>
      </c>
      <c r="V22" t="e" cm="1" vm="1">
        <f t="array" ref="V22">_xlfn.ANCHORARRAY(P22)</f>
        <v>#VALUE!</v>
      </c>
      <c r="W22" t="str" cm="1">
        <f t="array" ref="W22">IFERROR(_xlfn._xlws.FILTER(_xlfn.ANCHORARRAY(Q22),_xlfn.ANCHORARRAY(N22)="O"),"")</f>
        <v/>
      </c>
      <c r="X22" t="str" cm="1">
        <f t="array" ref="X22">IFERROR(_xlfn._xlws.FILTER(_xlfn.ANCHORARRAY(O22),_xlfn.ANCHORARRAY(N22)="O"),"")</f>
        <v/>
      </c>
      <c r="Y22" t="str" cm="1">
        <f t="array" ref="Y22">IFERROR(_xlfn._xlws.FILTER(_xlfn.ANCHORARRAY(Q22),_xlfn.ANCHORARRAY(N22)="Q"),"")</f>
        <v/>
      </c>
      <c r="Z22" t="str" cm="1">
        <f t="array" ref="Z22">IFERROR(_xlfn._xlws.FILTER(_xlfn.ANCHORARRAY(O22),_xlfn.ANCHORARRAY(N22)="Q"),"")</f>
        <v/>
      </c>
    </row>
    <row r="23" spans="1:34" x14ac:dyDescent="0.35">
      <c r="Q23" t="str">
        <v/>
      </c>
      <c r="S23" t="str">
        <v/>
      </c>
    </row>
    <row r="24" spans="1:34" x14ac:dyDescent="0.35">
      <c r="Q24" t="str">
        <v/>
      </c>
      <c r="S24" t="str">
        <v/>
      </c>
    </row>
    <row r="25" spans="1:34" x14ac:dyDescent="0.35">
      <c r="Q25" t="str">
        <v/>
      </c>
      <c r="S25" t="str">
        <v/>
      </c>
      <c r="AB25" s="12" t="s">
        <v>181</v>
      </c>
    </row>
    <row r="26" spans="1:34" x14ac:dyDescent="0.35">
      <c r="Q26" t="str">
        <v/>
      </c>
      <c r="S26" t="str">
        <v/>
      </c>
      <c r="AB26" s="12" t="s">
        <v>29</v>
      </c>
      <c r="AC26" s="12" t="s">
        <v>28</v>
      </c>
      <c r="AD26" s="12" t="s">
        <v>156</v>
      </c>
      <c r="AE26" s="12" t="s">
        <v>182</v>
      </c>
      <c r="AF26" t="s">
        <v>29</v>
      </c>
      <c r="AG26" t="s">
        <v>156</v>
      </c>
      <c r="AH26" t="s">
        <v>28</v>
      </c>
    </row>
    <row r="27" spans="1:34" x14ac:dyDescent="0.35">
      <c r="Q27" t="str">
        <v/>
      </c>
      <c r="S27" t="str">
        <v/>
      </c>
      <c r="AB27" t="e" cm="1" vm="2">
        <f t="array" ref="AB27">_xlfn.LET(_xlpm.t,Production_Center!D8:D49,_xlpm.c,Production_Center!L8:L49,_xlpm.v,Production_Center!K8:K49,_xlpm.m,(_xlpm.t="Q")*ISNUMBER(_xlpm.v)*(_xlpm.c&lt;&gt;""),_xlpm.uc,_xlfn.UNIQUE(_xlfn._xlws.FILTER(_xlpm.c,_xlpm.m=1)),_xlpm.tv,_xlfn.MAP(_xlpm.uc,_xlfn.LAMBDA(_xlpm.x,SUMIFS(_xlpm.v,_xlpm.c,_xlpm.x,_xlpm.t,"Q"))),_xlpm.tc,_xlfn.MAP(_xlpm.uc,_xlfn.LAMBDA(_xlpm.x,COUNTIFS(_xlpm.c,_xlpm.x,_xlpm.t,"Q"))),_xlpm.so,_xlfn.SORTBY(_xlfn.HSTACK(_xlpm.uc,_xlpm.tv,_xlpm.tc),_xlpm.tv,-1),_xlpm.top4n,INDEX(_xlfn.TAKE(_xlpm.so,4),,1),_xlpm.top4v,INDEX(_xlfn.TAKE(_xlpm.so,4),,2),_xlpm.top4c,INDEX(_xlfn.TAKE(_xlpm.so,4),,3),_xlpm.rest,_xlfn.DROP(_xlpm.so,4),_xlfn.HSTACK(_xlfn.VSTACK(_xlpm.top4n,"OTHER CUSTOMERS"),_xlfn.VSTACK(_xlpm.top4v,SUM(INDEX(_xlpm.rest,,2))),_xlfn.VSTACK(_xlpm.top4c,SUM(INDEX(_xlpm.rest,,3)))))</f>
        <v>#VALUE!</v>
      </c>
      <c r="AE27" s="137" t="e">
        <f>AC27/SUM($AC$27:$AC$31)</f>
        <v>#DIV/0!</v>
      </c>
      <c r="AF27" t="e" vm="1">
        <f>AB27</f>
        <v>#VALUE!</v>
      </c>
      <c r="AG27">
        <f>AD27</f>
        <v>0</v>
      </c>
      <c r="AH27">
        <f>AC27</f>
        <v>0</v>
      </c>
    </row>
    <row r="28" spans="1:34" x14ac:dyDescent="0.35">
      <c r="Q28" t="str">
        <v/>
      </c>
      <c r="S28" t="str">
        <v/>
      </c>
      <c r="AE28" s="137" t="e">
        <f>AC28/SUM($AC$27:$AC$31)</f>
        <v>#DIV/0!</v>
      </c>
      <c r="AF28">
        <f>AB28</f>
        <v>0</v>
      </c>
      <c r="AG28">
        <f>AD28</f>
        <v>0</v>
      </c>
      <c r="AH28">
        <f>AC28</f>
        <v>0</v>
      </c>
    </row>
    <row r="29" spans="1:34" x14ac:dyDescent="0.35">
      <c r="Q29" t="str">
        <v/>
      </c>
      <c r="S29" t="str">
        <v/>
      </c>
      <c r="AE29" s="137" t="e">
        <f>AC29/SUM($AC$27:$AC$31)</f>
        <v>#DIV/0!</v>
      </c>
      <c r="AF29">
        <f>AB29</f>
        <v>0</v>
      </c>
      <c r="AG29">
        <f>AD29</f>
        <v>0</v>
      </c>
      <c r="AH29">
        <f>AC29</f>
        <v>0</v>
      </c>
    </row>
    <row r="30" spans="1:34" x14ac:dyDescent="0.35">
      <c r="Q30" t="str">
        <v/>
      </c>
      <c r="S30" t="str">
        <v/>
      </c>
      <c r="AE30" s="137" t="e">
        <f>AC30/SUM($AC$27:$AC$31)</f>
        <v>#DIV/0!</v>
      </c>
      <c r="AF30">
        <f>AB30</f>
        <v>0</v>
      </c>
      <c r="AG30">
        <f>AD30</f>
        <v>0</v>
      </c>
      <c r="AH30">
        <f>AC30</f>
        <v>0</v>
      </c>
    </row>
    <row r="31" spans="1:34" x14ac:dyDescent="0.35">
      <c r="Q31" t="str">
        <v/>
      </c>
      <c r="S31" t="str">
        <v/>
      </c>
      <c r="AE31" s="137" t="e">
        <f>AC31/SUM($AC$27:$AC$31)</f>
        <v>#DIV/0!</v>
      </c>
      <c r="AF31">
        <f>AB31</f>
        <v>0</v>
      </c>
      <c r="AG31">
        <f>AD31</f>
        <v>0</v>
      </c>
      <c r="AH31">
        <f>AC31</f>
        <v>0</v>
      </c>
    </row>
    <row r="32" spans="1:34" x14ac:dyDescent="0.35">
      <c r="Q32" t="str">
        <v/>
      </c>
      <c r="S32" t="str">
        <v/>
      </c>
    </row>
    <row r="33" spans="17:30" x14ac:dyDescent="0.35">
      <c r="Q33" t="str">
        <v/>
      </c>
      <c r="S33" t="str">
        <v/>
      </c>
    </row>
    <row r="34" spans="17:30" x14ac:dyDescent="0.35">
      <c r="Q34" t="str">
        <v/>
      </c>
      <c r="S34" t="str">
        <v/>
      </c>
    </row>
    <row r="35" spans="17:30" x14ac:dyDescent="0.35">
      <c r="Q35" t="str">
        <v/>
      </c>
      <c r="S35" t="str">
        <v/>
      </c>
    </row>
    <row r="36" spans="17:30" x14ac:dyDescent="0.35">
      <c r="Q36" t="str">
        <v/>
      </c>
      <c r="S36" t="str">
        <v/>
      </c>
    </row>
    <row r="37" spans="17:30" x14ac:dyDescent="0.35">
      <c r="Q37" t="str">
        <v/>
      </c>
      <c r="S37" t="str">
        <v/>
      </c>
    </row>
    <row r="38" spans="17:30" x14ac:dyDescent="0.35">
      <c r="Q38" t="str">
        <v/>
      </c>
      <c r="S38" t="str">
        <v/>
      </c>
    </row>
    <row r="39" spans="17:30" x14ac:dyDescent="0.35">
      <c r="Q39" t="str">
        <v/>
      </c>
      <c r="S39" t="str">
        <v/>
      </c>
    </row>
    <row r="40" spans="17:30" x14ac:dyDescent="0.35">
      <c r="Q40" t="str">
        <v/>
      </c>
      <c r="S40" t="str">
        <v/>
      </c>
    </row>
    <row r="41" spans="17:30" x14ac:dyDescent="0.35">
      <c r="Q41" t="str">
        <v/>
      </c>
      <c r="S41" t="str">
        <v/>
      </c>
    </row>
    <row r="42" spans="17:30" x14ac:dyDescent="0.35">
      <c r="Q42" t="str">
        <v/>
      </c>
      <c r="S42" t="str">
        <v/>
      </c>
    </row>
    <row r="43" spans="17:30" x14ac:dyDescent="0.35">
      <c r="Q43" t="str">
        <v/>
      </c>
      <c r="S43" t="str">
        <v/>
      </c>
    </row>
    <row r="44" spans="17:30" x14ac:dyDescent="0.35">
      <c r="Q44" t="str">
        <v/>
      </c>
      <c r="S44" t="str">
        <v/>
      </c>
    </row>
    <row r="45" spans="17:30" x14ac:dyDescent="0.35">
      <c r="Q45" t="str">
        <v/>
      </c>
      <c r="S45" t="str">
        <v/>
      </c>
      <c r="AB45" t="s">
        <v>183</v>
      </c>
    </row>
    <row r="46" spans="17:30" x14ac:dyDescent="0.35">
      <c r="Q46" t="str">
        <v/>
      </c>
      <c r="S46" t="str">
        <v/>
      </c>
      <c r="AB46" t="s">
        <v>29</v>
      </c>
      <c r="AC46" t="s">
        <v>184</v>
      </c>
      <c r="AD46" t="s">
        <v>189</v>
      </c>
    </row>
    <row r="47" spans="17:30" x14ac:dyDescent="0.35">
      <c r="Q47" t="str">
        <v/>
      </c>
      <c r="S47" t="str">
        <v/>
      </c>
      <c r="AB47" t="e" cm="1" vm="2">
        <f t="array" ref="AB47">_xlfn.LET(_xlpm.t,Production_Center!D8:D49,_xlpm.c,Production_Center!L8:L49,_xlpm.v,Production_Center!K8:K49,_xlpm.m,(_xlpm.t="O")*ISNUMBER(_xlpm.v)*(_xlpm.c&lt;&gt;""),_xlpm.uc,_xlfn.UNIQUE(_xlfn._xlws.FILTER(_xlpm.c,_xlpm.m=1)),_xlpm.tc,_xlfn.MAP(_xlpm.uc,_xlfn.LAMBDA(_xlpm.x,COUNTIFS(_xlpm.c,_xlpm.x,_xlpm.t,"O"))),_xlpm.so,_xlfn.SORTBY(_xlfn.HSTACK(_xlpm.uc,_xlpm.tc),_xlpm.tc,-1),_xlpm.top4n,INDEX(_xlfn.TAKE(_xlpm.so,4),,1),_xlpm.top4c,INDEX(_xlfn.TAKE(_xlpm.so,4),,2),_xlpm.rest,_xlfn.DROP(_xlpm.so,4),_xlfn.HSTACK(_xlfn.VSTACK(_xlpm.top4n,"OTHER CUSTOMERS"),_xlfn.VSTACK(_xlpm.top4c,SUM(INDEX(_xlpm.rest,,2)))))</f>
        <v>#VALUE!</v>
      </c>
      <c r="AD47" t="e" vm="1">
        <f>AB47&amp;"  ("&amp;AC47&amp;" | "&amp;TEXT(AC47/SUM($AC$47:$AC$51),"0.0%")&amp;")"</f>
        <v>#VALUE!</v>
      </c>
    </row>
    <row r="48" spans="17:30" x14ac:dyDescent="0.35">
      <c r="Q48" t="str">
        <v/>
      </c>
      <c r="S48" t="str">
        <v/>
      </c>
      <c r="AD48" t="e">
        <f>AB48&amp;"  ("&amp;AC48&amp;" | "&amp;TEXT(AC48/SUM($AC$47:$AC$51),"0.0%")&amp;")"</f>
        <v>#DIV/0!</v>
      </c>
    </row>
    <row r="49" spans="17:30" x14ac:dyDescent="0.35">
      <c r="Q49" t="str">
        <v/>
      </c>
      <c r="S49" t="str">
        <v/>
      </c>
      <c r="AD49" t="e">
        <f>AB49&amp;"  ("&amp;AC49&amp;" | "&amp;TEXT(AC49/SUM($AC$47:$AC$51),"0.0%")&amp;")"</f>
        <v>#DIV/0!</v>
      </c>
    </row>
    <row r="50" spans="17:30" x14ac:dyDescent="0.35">
      <c r="Q50" t="str">
        <v/>
      </c>
      <c r="S50" t="str">
        <v/>
      </c>
      <c r="AD50" t="e">
        <f>AB50&amp;"  ("&amp;AC50&amp;" | "&amp;TEXT(AC50/SUM($AC$47:$AC$51),"0.0%")&amp;")"</f>
        <v>#DIV/0!</v>
      </c>
    </row>
    <row r="51" spans="17:30" x14ac:dyDescent="0.35">
      <c r="Q51" t="str">
        <v/>
      </c>
      <c r="S51" t="str">
        <v/>
      </c>
      <c r="AD51" t="e">
        <f>AB51&amp;"  ("&amp;AC51&amp;" | "&amp;TEXT(AC51/SUM($AC$47:$AC$51),"0.0%")&amp;")"</f>
        <v>#DIV/0!</v>
      </c>
    </row>
    <row r="52" spans="17:30" x14ac:dyDescent="0.35">
      <c r="Q52" t="str">
        <v/>
      </c>
      <c r="S52" t="str">
        <v/>
      </c>
    </row>
    <row r="53" spans="17:30" x14ac:dyDescent="0.35">
      <c r="Q53" t="str">
        <v/>
      </c>
      <c r="S53" t="str">
        <v/>
      </c>
    </row>
    <row r="54" spans="17:30" x14ac:dyDescent="0.35">
      <c r="Q54" t="str">
        <v/>
      </c>
      <c r="S54" t="str">
        <v/>
      </c>
    </row>
    <row r="55" spans="17:30" x14ac:dyDescent="0.35">
      <c r="Q55" t="str">
        <v/>
      </c>
      <c r="S55" t="str">
        <v/>
      </c>
      <c r="AB55" t="s">
        <v>185</v>
      </c>
    </row>
    <row r="56" spans="17:30" x14ac:dyDescent="0.35">
      <c r="Q56" t="str">
        <v/>
      </c>
      <c r="S56" t="str">
        <v/>
      </c>
      <c r="AB56" t="s">
        <v>29</v>
      </c>
      <c r="AC56" t="s">
        <v>186</v>
      </c>
      <c r="AD56" t="s">
        <v>189</v>
      </c>
    </row>
    <row r="57" spans="17:30" x14ac:dyDescent="0.35">
      <c r="Q57" t="str">
        <v/>
      </c>
      <c r="S57" t="str">
        <v/>
      </c>
      <c r="AB57" t="e" cm="1" vm="2">
        <f t="array" ref="AB57">_xlfn.LET(_xlpm.t,Production_Center!D8:D49,_xlpm.c,Production_Center!L8:L49,_xlpm.v,Production_Center!K8:K49,_xlpm.m,(_xlpm.t="Q")*ISNUMBER(_xlpm.v)*(_xlpm.c&lt;&gt;""),_xlpm.uc,_xlfn.UNIQUE(_xlfn._xlws.FILTER(_xlpm.c,_xlpm.m=1)),_xlpm.tc,_xlfn.MAP(_xlpm.uc,_xlfn.LAMBDA(_xlpm.x,COUNTIFS(_xlpm.c,_xlpm.x,_xlpm.t,"Q"))),_xlpm.so,_xlfn.SORTBY(_xlfn.HSTACK(_xlpm.uc,_xlpm.tc),_xlpm.tc,-1),_xlpm.top4n,INDEX(_xlfn.TAKE(_xlpm.so,4),,1),_xlpm.top4c,INDEX(_xlfn.TAKE(_xlpm.so,4),,2),_xlpm.rest,_xlfn.DROP(_xlpm.so,4),_xlfn.HSTACK(_xlfn.VSTACK(_xlpm.top4n,"OTHER CUSTOMERS"),_xlfn.VSTACK(_xlpm.top4c,SUM(INDEX(_xlpm.rest,,2)))))</f>
        <v>#VALUE!</v>
      </c>
      <c r="AD57" t="e" vm="1">
        <f>AB57&amp;"  ("&amp;AC57&amp;" | "&amp;TEXT(AC57/SUM($AC$57:$AC$61),"0.0%")&amp;")"</f>
        <v>#VALUE!</v>
      </c>
    </row>
    <row r="58" spans="17:30" x14ac:dyDescent="0.35">
      <c r="AD58" t="e">
        <f>AB58&amp;"  ("&amp;AC58&amp;" | "&amp;TEXT(AC58/SUM($AC$57:$AC$61),"0.0%")&amp;")"</f>
        <v>#DIV/0!</v>
      </c>
    </row>
    <row r="59" spans="17:30" x14ac:dyDescent="0.35">
      <c r="AD59" t="e">
        <f>AB59&amp;"  ("&amp;AC59&amp;" | "&amp;TEXT(AC59/SUM($AC$57:$AC$61),"0.0%")&amp;")"</f>
        <v>#DIV/0!</v>
      </c>
    </row>
    <row r="60" spans="17:30" x14ac:dyDescent="0.35">
      <c r="AD60" t="e">
        <f>AB60&amp;"  ("&amp;AC60&amp;" | "&amp;TEXT(AC60/SUM($AC$57:$AC$61),"0.0%")&amp;")"</f>
        <v>#DIV/0!</v>
      </c>
    </row>
    <row r="61" spans="17:30" x14ac:dyDescent="0.35">
      <c r="AD61" t="e">
        <f>AB61&amp;"  ("&amp;AC61&amp;" | "&amp;TEXT(AC61/SUM($AC$57:$AC$61),"0.0%")&amp;")"</f>
        <v>#DIV/0!</v>
      </c>
    </row>
    <row r="65" spans="28:29" x14ac:dyDescent="0.35">
      <c r="AB65" t="s">
        <v>187</v>
      </c>
    </row>
    <row r="66" spans="28:29" x14ac:dyDescent="0.35">
      <c r="AB66" t="s">
        <v>29</v>
      </c>
      <c r="AC66" t="s">
        <v>137</v>
      </c>
    </row>
    <row r="67" spans="28:29" x14ac:dyDescent="0.35">
      <c r="AB67" t="e" cm="1" vm="2">
        <f t="array" ref="AB67">_xlfn.LET(_xlpm.t,Production_Center!D8:D49,_xlpm.c,Production_Center!L8:L49,_xlpm.r,Production_Center!U8:U49,_xlpm.m,(_xlpm.t="O")*ISNUMBER(_xlpm.r)*(_xlpm.c&lt;&gt;""),_xlpm.uc,_xlfn.UNIQUE(_xlfn._xlws.FILTER(_xlpm.c,_xlpm.m=1)),_xlpm.tr,_xlfn.MAP(_xlpm.uc,_xlfn.LAMBDA(_xlpm.x,SUMIFS(_xlpm.r,_xlpm.c,_xlpm.x,_xlpm.t,"O"))),_xlpm.so,_xlfn.SORTBY(_xlfn.HSTACK(_xlpm.uc,_xlpm.tr),_xlpm.tr,-1),_xlpm.top4n,INDEX(_xlfn.TAKE(_xlpm.so,4),,1),_xlpm.top4r,INDEX(_xlfn.TAKE(_xlpm.so,4),,2),_xlpm.rest,_xlfn.DROP(_xlpm.so,4),_xlfn.HSTACK(_xlfn.VSTACK(_xlpm.top4n,"OTHER CUSTOMERS"),_xlfn.VSTACK(_xlpm.top4r,SUM(INDEX(_xlpm.rest,,2)))))</f>
        <v>#VALUE!</v>
      </c>
    </row>
    <row r="75" spans="28:29" x14ac:dyDescent="0.35">
      <c r="AB75" t="s">
        <v>188</v>
      </c>
    </row>
    <row r="76" spans="28:29" x14ac:dyDescent="0.35">
      <c r="AB76" t="s">
        <v>29</v>
      </c>
      <c r="AC76" t="s">
        <v>137</v>
      </c>
    </row>
    <row r="77" spans="28:29" x14ac:dyDescent="0.35">
      <c r="AB77" t="e" cm="1" vm="2">
        <f t="array" ref="AB77">_xlfn.LET(_xlpm.t,Production_Center!D8:D49,_xlpm.c,Production_Center!L8:L49,_xlpm.r,Production_Center!U8:U49,_xlpm.m,(_xlpm.t="Q")*ISNUMBER(_xlpm.r)*(_xlpm.c&lt;&gt;""),_xlpm.uc,_xlfn.UNIQUE(_xlfn._xlws.FILTER(_xlpm.c,_xlpm.m=1)),_xlpm.tr,_xlfn.MAP(_xlpm.uc,_xlfn.LAMBDA(_xlpm.x,SUMIFS(_xlpm.r,_xlpm.c,_xlpm.x,_xlpm.t,"Q"))),_xlpm.so,_xlfn.SORTBY(_xlfn.HSTACK(_xlpm.uc,_xlpm.tr),_xlpm.tr,-1),_xlpm.top4n,INDEX(_xlfn.TAKE(_xlpm.so,4),,1),_xlpm.top4r,INDEX(_xlfn.TAKE(_xlpm.so,4),,2),_xlpm.rest,_xlfn.DROP(_xlpm.so,4),_xlfn.HSTACK(_xlfn.VSTACK(_xlpm.top4n,"OTHER CUSTOMERS"),_xlfn.VSTACK(_xlpm.top4r,SUM(INDEX(_xlpm.rest,,2)))))</f>
        <v>#VALUE!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A154-0CA8-45EF-AC75-3E5D501DB466}">
  <dimension ref="A1:V100"/>
  <sheetViews>
    <sheetView topLeftCell="A20" workbookViewId="0">
      <selection activeCell="G23" sqref="G23"/>
    </sheetView>
  </sheetViews>
  <sheetFormatPr defaultRowHeight="14.5" x14ac:dyDescent="0.35"/>
  <cols>
    <col min="1" max="1" width="21.81640625" customWidth="1"/>
    <col min="2" max="7" width="23.54296875" customWidth="1"/>
  </cols>
  <sheetData>
    <row r="1" spans="1:22" ht="18.5" x14ac:dyDescent="0.45">
      <c r="A1" s="125" t="s">
        <v>144</v>
      </c>
    </row>
    <row r="2" spans="1:22" x14ac:dyDescent="0.35">
      <c r="A2" s="126" t="s">
        <v>145</v>
      </c>
    </row>
    <row r="3" spans="1:22" x14ac:dyDescent="0.35">
      <c r="A3" s="126" t="s">
        <v>146</v>
      </c>
    </row>
    <row r="5" spans="1:22" ht="15.5" x14ac:dyDescent="0.35">
      <c r="A5" s="128" t="s">
        <v>148</v>
      </c>
      <c r="H5" s="135" t="s">
        <v>147</v>
      </c>
      <c r="I5" s="136"/>
      <c r="J5" s="136"/>
      <c r="S5" s="135" t="s">
        <v>172</v>
      </c>
      <c r="T5" s="136"/>
      <c r="U5" s="136"/>
      <c r="V5" s="136"/>
    </row>
    <row r="6" spans="1:22" x14ac:dyDescent="0.35">
      <c r="A6" s="129" t="s">
        <v>149</v>
      </c>
      <c r="B6" s="129" t="s">
        <v>150</v>
      </c>
      <c r="C6" s="129" t="s">
        <v>151</v>
      </c>
      <c r="D6" s="129" t="s">
        <v>152</v>
      </c>
      <c r="E6" s="129" t="s">
        <v>153</v>
      </c>
      <c r="F6" s="129" t="s">
        <v>154</v>
      </c>
      <c r="G6" s="129" t="s">
        <v>155</v>
      </c>
      <c r="H6" s="135" t="s">
        <v>27</v>
      </c>
      <c r="I6" s="135" t="s">
        <v>28</v>
      </c>
      <c r="J6" s="135" t="s">
        <v>137</v>
      </c>
      <c r="L6" s="135" t="s">
        <v>27</v>
      </c>
      <c r="M6" s="135" t="s">
        <v>28</v>
      </c>
      <c r="N6" s="135" t="s">
        <v>137</v>
      </c>
      <c r="O6" s="136"/>
      <c r="P6" s="135" t="s">
        <v>27</v>
      </c>
      <c r="Q6" s="135" t="s">
        <v>137</v>
      </c>
      <c r="S6" s="135" t="s">
        <v>158</v>
      </c>
      <c r="T6" s="136" t="e" vm="1">
        <f>AVERAGE(_xlfn.ANCHORARRAY(J7))</f>
        <v>#VALUE!</v>
      </c>
      <c r="U6" s="136"/>
      <c r="V6" s="136"/>
    </row>
    <row r="7" spans="1:22" x14ac:dyDescent="0.35">
      <c r="A7" s="130" t="s">
        <v>156</v>
      </c>
      <c r="B7" s="131">
        <f>COUNT(_xlfn.ANCHORARRAY(I7))</f>
        <v>0</v>
      </c>
      <c r="C7" s="131">
        <f>COUNTIFS(_xlfn.ANCHORARRAY(H7),"O")</f>
        <v>0</v>
      </c>
      <c r="D7" s="131">
        <f>COUNTIFS(_xlfn.ANCHORARRAY(H7),"Q")</f>
        <v>0</v>
      </c>
      <c r="E7" s="131">
        <f>COUNT(_xlfn.ANCHORARRAY(J7))</f>
        <v>0</v>
      </c>
      <c r="F7" s="131">
        <f>COUNTIFS(_xlfn.ANCHORARRAY(H7),"O")</f>
        <v>0</v>
      </c>
      <c r="G7" s="131">
        <f>COUNTIFS(_xlfn.ANCHORARRAY(H7),"Q")</f>
        <v>0</v>
      </c>
      <c r="H7" s="136" t="e" cm="1" vm="2">
        <f t="array" ref="H7">_xlfn._xlws.FILTER(Production_Center!D8:D49,(Production_Center!U8:U49&lt;&gt;"")*(Production_Center!K8:K49&lt;&gt;"")*(Production_Center!K8:K49&lt;&gt;0))</f>
        <v>#VALUE!</v>
      </c>
      <c r="I7" s="136" t="e" cm="1" vm="2">
        <f t="array" ref="I7">_xlfn._xlws.FILTER(Production_Center!K8:K49,(Production_Center!U8:U49&lt;&gt;"")*(Production_Center!K8:K49&lt;&gt;"")*(Production_Center!K8:K49&lt;&gt;0))</f>
        <v>#VALUE!</v>
      </c>
      <c r="J7" s="136" t="e" cm="1" vm="2">
        <f t="array" ref="J7">_xlfn._xlws.FILTER(Production_Center!U8:U49,(Production_Center!U8:U49&lt;&gt;"")*(Production_Center!K8:K49&lt;&gt;"")*(Production_Center!K8:K49&lt;&gt;0))</f>
        <v>#VALUE!</v>
      </c>
      <c r="L7" s="136" t="e" cm="1" vm="1">
        <f t="array" ref="L7">_xlfn.ANCHORARRAY(H7)</f>
        <v>#VALUE!</v>
      </c>
      <c r="M7" s="136" t="e" cm="1" vm="1">
        <f t="array" ref="M7">_xlfn.ANCHORARRAY(I7)</f>
        <v>#VALUE!</v>
      </c>
      <c r="N7" s="136" t="e" cm="1" vm="1">
        <f t="array" ref="N7">_xlfn.ANCHORARRAY(J7)</f>
        <v>#VALUE!</v>
      </c>
      <c r="O7" s="136"/>
      <c r="P7" s="136" t="e" cm="1" vm="1">
        <f t="array" ref="P7">_xlfn.ANCHORARRAY(H7)</f>
        <v>#VALUE!</v>
      </c>
      <c r="Q7" s="136" t="e" cm="1" vm="1">
        <f t="array" ref="Q7">_xlfn.ANCHORARRAY(J7)</f>
        <v>#VALUE!</v>
      </c>
      <c r="S7" s="136" t="s">
        <v>166</v>
      </c>
      <c r="T7" s="136" t="e" vm="1">
        <f>_xlfn.STDEV.S(_xlfn.ANCHORARRAY(J7))</f>
        <v>#VALUE!</v>
      </c>
      <c r="U7" s="136"/>
      <c r="V7" s="136"/>
    </row>
    <row r="8" spans="1:22" x14ac:dyDescent="0.35">
      <c r="A8" s="130" t="s">
        <v>157</v>
      </c>
      <c r="B8" s="132" t="e" vm="1">
        <f>SUM(_xlfn.ANCHORARRAY(I7))</f>
        <v>#VALUE!</v>
      </c>
      <c r="C8" s="132">
        <f>SUMIFS(_xlfn.ANCHORARRAY(I7),_xlfn.ANCHORARRAY(H7),"O")</f>
        <v>0</v>
      </c>
      <c r="D8" s="132">
        <f>SUMIFS(_xlfn.ANCHORARRAY(I7),_xlfn.ANCHORARRAY(H7),"Q")</f>
        <v>0</v>
      </c>
      <c r="E8" s="133" t="e" vm="1">
        <f>SUM(_xlfn.ANCHORARRAY(J7))</f>
        <v>#VALUE!</v>
      </c>
      <c r="F8" s="133">
        <f>SUMIFS(_xlfn.ANCHORARRAY(J7),_xlfn.ANCHORARRAY(H7),"O")</f>
        <v>0</v>
      </c>
      <c r="G8" s="133">
        <f>SUMIFS(_xlfn.ANCHORARRAY(J7),_xlfn.ANCHORARRAY(H7),"Q")</f>
        <v>0</v>
      </c>
      <c r="H8" s="136"/>
      <c r="I8" s="136"/>
      <c r="J8" s="136"/>
      <c r="L8" s="136"/>
      <c r="M8" s="136"/>
      <c r="N8" s="136"/>
      <c r="O8" s="136"/>
      <c r="P8" s="136"/>
      <c r="Q8" s="136"/>
      <c r="S8" s="136" t="s">
        <v>160</v>
      </c>
      <c r="T8" s="136" t="e" vm="1">
        <f>MIN(_xlfn.ANCHORARRAY(J7))</f>
        <v>#VALUE!</v>
      </c>
      <c r="U8" s="136"/>
      <c r="V8" s="136"/>
    </row>
    <row r="9" spans="1:22" x14ac:dyDescent="0.35">
      <c r="A9" s="130" t="s">
        <v>158</v>
      </c>
      <c r="B9" s="132" t="e" vm="1">
        <f>AVERAGE(_xlfn.ANCHORARRAY(I7))</f>
        <v>#VALUE!</v>
      </c>
      <c r="C9" s="132" t="e">
        <f>AVERAGEIFS(_xlfn.ANCHORARRAY(I7),_xlfn.ANCHORARRAY(H7),"O")</f>
        <v>#DIV/0!</v>
      </c>
      <c r="D9" s="132" t="e">
        <f>AVERAGEIFS(_xlfn.ANCHORARRAY(I7),_xlfn.ANCHORARRAY(H7),"Q")</f>
        <v>#DIV/0!</v>
      </c>
      <c r="E9" s="133" t="e" vm="1">
        <f>AVERAGE(_xlfn.ANCHORARRAY(J7))</f>
        <v>#VALUE!</v>
      </c>
      <c r="F9" s="133" t="e">
        <f>AVERAGEIFS(_xlfn.ANCHORARRAY(J7),_xlfn.ANCHORARRAY(H7),"O")</f>
        <v>#DIV/0!</v>
      </c>
      <c r="G9" s="133" t="e">
        <f>AVERAGEIFS(_xlfn.ANCHORARRAY(J7),_xlfn.ANCHORARRAY(H7),"Q")</f>
        <v>#DIV/0!</v>
      </c>
      <c r="H9" s="136"/>
      <c r="I9" s="136"/>
      <c r="J9" s="136"/>
      <c r="L9" s="136"/>
      <c r="M9" s="136"/>
      <c r="N9" s="136"/>
      <c r="O9" s="136"/>
      <c r="P9" s="136"/>
      <c r="Q9" s="136"/>
      <c r="S9" s="136" t="s">
        <v>161</v>
      </c>
      <c r="T9" s="136" t="e" vm="1">
        <f>MAX(_xlfn.ANCHORARRAY(J7))</f>
        <v>#VALUE!</v>
      </c>
      <c r="U9" s="136"/>
      <c r="V9" s="136"/>
    </row>
    <row r="10" spans="1:22" x14ac:dyDescent="0.35">
      <c r="A10" s="130" t="s">
        <v>159</v>
      </c>
      <c r="B10" s="132" t="e" vm="1">
        <f>MEDIAN(_xlfn.ANCHORARRAY(I7))</f>
        <v>#VALUE!</v>
      </c>
      <c r="C10" s="132" t="e" cm="1" vm="1">
        <f t="array" ref="C10">MEDIAN(_xlfn._xlws.FILTER(_xlfn.ANCHORARRAY(I7),_xlfn.ANCHORARRAY(H7)="O"))</f>
        <v>#VALUE!</v>
      </c>
      <c r="D10" s="132" t="e" cm="1" vm="1">
        <f t="array" ref="D10">MEDIAN(_xlfn._xlws.FILTER(_xlfn.ANCHORARRAY(I7),_xlfn.ANCHORARRAY(H7)="Q"))</f>
        <v>#VALUE!</v>
      </c>
      <c r="E10" s="133" t="e" vm="1">
        <f>MEDIAN(_xlfn.ANCHORARRAY(J7))</f>
        <v>#VALUE!</v>
      </c>
      <c r="F10" s="133" t="e" cm="1" vm="1">
        <f t="array" ref="F10">MEDIAN(_xlfn._xlws.FILTER(_xlfn.ANCHORARRAY(J7),_xlfn.ANCHORARRAY(H7)="O"))</f>
        <v>#VALUE!</v>
      </c>
      <c r="G10" s="133" t="e" cm="1" vm="1">
        <f t="array" ref="G10">MEDIAN(_xlfn._xlws.FILTER(_xlfn.ANCHORARRAY(J7),_xlfn.ANCHORARRAY(H7)="Q"))</f>
        <v>#VALUE!</v>
      </c>
      <c r="H10" s="136"/>
      <c r="I10" s="136"/>
      <c r="J10" s="136"/>
      <c r="L10" s="136"/>
      <c r="M10" s="136"/>
      <c r="N10" s="136"/>
      <c r="O10" s="136"/>
      <c r="P10" s="136"/>
      <c r="Q10" s="136"/>
      <c r="S10" s="136" t="s">
        <v>173</v>
      </c>
      <c r="T10" s="136">
        <f>COUNT(_xlfn.ANCHORARRAY(J7))</f>
        <v>0</v>
      </c>
      <c r="U10" s="136"/>
      <c r="V10" s="136"/>
    </row>
    <row r="11" spans="1:22" x14ac:dyDescent="0.35">
      <c r="A11" s="130" t="s">
        <v>160</v>
      </c>
      <c r="B11" s="132" t="e" vm="1">
        <f>MIN(_xlfn.ANCHORARRAY(I7))</f>
        <v>#VALUE!</v>
      </c>
      <c r="C11" s="132">
        <f>_xlfn.MINIFS(_xlfn.ANCHORARRAY(I7),_xlfn.ANCHORARRAY(H7),"O")</f>
        <v>0</v>
      </c>
      <c r="D11" s="132">
        <f>_xlfn.MINIFS(_xlfn.ANCHORARRAY(I7),_xlfn.ANCHORARRAY(H7),"Q")</f>
        <v>0</v>
      </c>
      <c r="E11" s="133" t="e" vm="1">
        <f>MIN(_xlfn.ANCHORARRAY(J7))</f>
        <v>#VALUE!</v>
      </c>
      <c r="F11" s="133">
        <f>_xlfn.MINIFS(_xlfn.ANCHORARRAY(J7),_xlfn.ANCHORARRAY(H7),"O")</f>
        <v>0</v>
      </c>
      <c r="G11" s="133">
        <f>_xlfn.MINIFS(_xlfn.ANCHORARRAY(J7),_xlfn.ANCHORARRAY(H7),"Q")</f>
        <v>0</v>
      </c>
      <c r="H11" s="136"/>
      <c r="I11" s="136"/>
      <c r="J11" s="136"/>
      <c r="L11" s="136"/>
      <c r="M11" s="136"/>
      <c r="N11" s="136"/>
      <c r="O11" s="136"/>
      <c r="P11" s="136"/>
      <c r="Q11" s="136"/>
      <c r="S11" s="136" t="s">
        <v>174</v>
      </c>
      <c r="T11" s="136">
        <v>1</v>
      </c>
      <c r="U11" s="136"/>
      <c r="V11" s="136"/>
    </row>
    <row r="12" spans="1:22" x14ac:dyDescent="0.35">
      <c r="A12" s="130" t="s">
        <v>161</v>
      </c>
      <c r="B12" s="132" t="e" vm="1">
        <f>MAX(_xlfn.ANCHORARRAY(I7))</f>
        <v>#VALUE!</v>
      </c>
      <c r="C12" s="132">
        <f>_xlfn.MAXIFS(_xlfn.ANCHORARRAY(I7),_xlfn.ANCHORARRAY(H7),"O")</f>
        <v>0</v>
      </c>
      <c r="D12" s="132">
        <f>_xlfn.MAXIFS(_xlfn.ANCHORARRAY(I7),_xlfn.ANCHORARRAY(H7),"Q")</f>
        <v>0</v>
      </c>
      <c r="E12" s="133" t="e" vm="1">
        <f>MAX(_xlfn.ANCHORARRAY(J7))</f>
        <v>#VALUE!</v>
      </c>
      <c r="F12" s="133">
        <f>_xlfn.MAXIFS(_xlfn.ANCHORARRAY(J7),_xlfn.ANCHORARRAY(H7),"O")</f>
        <v>0</v>
      </c>
      <c r="G12" s="133">
        <f>_xlfn.MAXIFS(_xlfn.ANCHORARRAY(J7),_xlfn.ANCHORARRAY(H7),"Q")</f>
        <v>0</v>
      </c>
      <c r="H12" s="136"/>
      <c r="I12" s="136"/>
      <c r="J12" s="136"/>
      <c r="L12" s="136"/>
      <c r="M12" s="136"/>
      <c r="N12" s="136"/>
      <c r="O12" s="136"/>
      <c r="P12" s="136"/>
      <c r="Q12" s="136"/>
      <c r="S12" s="136" t="s">
        <v>175</v>
      </c>
      <c r="T12" s="136" t="e" vm="1">
        <f>_xlfn.CEILING.MATH((T9-T8)/T11)+1</f>
        <v>#VALUE!</v>
      </c>
      <c r="U12" s="136"/>
      <c r="V12" s="136"/>
    </row>
    <row r="13" spans="1:22" x14ac:dyDescent="0.35">
      <c r="A13" s="130" t="s">
        <v>162</v>
      </c>
      <c r="B13" s="132" t="e" vm="1">
        <f t="shared" ref="B13:G13" si="0">B12-B11</f>
        <v>#VALUE!</v>
      </c>
      <c r="C13" s="132">
        <f t="shared" si="0"/>
        <v>0</v>
      </c>
      <c r="D13" s="132">
        <f t="shared" si="0"/>
        <v>0</v>
      </c>
      <c r="E13" s="133" t="e" vm="1">
        <f t="shared" si="0"/>
        <v>#VALUE!</v>
      </c>
      <c r="F13" s="133">
        <f t="shared" si="0"/>
        <v>0</v>
      </c>
      <c r="G13" s="133">
        <f t="shared" si="0"/>
        <v>0</v>
      </c>
      <c r="H13" s="136"/>
      <c r="I13" s="136"/>
      <c r="J13" s="136"/>
      <c r="L13" s="136"/>
      <c r="M13" s="136"/>
      <c r="N13" s="136"/>
      <c r="O13" s="136"/>
      <c r="P13" s="136"/>
      <c r="Q13" s="136"/>
      <c r="S13" s="136"/>
      <c r="T13" s="136"/>
      <c r="U13" s="136"/>
      <c r="V13" s="136"/>
    </row>
    <row r="14" spans="1:22" x14ac:dyDescent="0.35">
      <c r="A14" s="130" t="s">
        <v>163</v>
      </c>
      <c r="B14" s="132" t="e" vm="1">
        <f>_xlfn.QUARTILE.INC(_xlfn.ANCHORARRAY(I7),1)</f>
        <v>#VALUE!</v>
      </c>
      <c r="C14" s="132" t="e" cm="1" vm="1">
        <f t="array" ref="C14">_xlfn.QUARTILE.INC(_xlfn._xlws.FILTER(_xlfn.ANCHORARRAY(I7),_xlfn.ANCHORARRAY(H7)="O"),1)</f>
        <v>#VALUE!</v>
      </c>
      <c r="D14" s="132" t="e" cm="1" vm="1">
        <f t="array" ref="D14">_xlfn.QUARTILE.INC(_xlfn._xlws.FILTER(_xlfn.ANCHORARRAY(I7),_xlfn.ANCHORARRAY(H7)="Q"),1)</f>
        <v>#VALUE!</v>
      </c>
      <c r="E14" s="133" t="e" vm="1">
        <f>_xlfn.QUARTILE.INC(_xlfn.ANCHORARRAY(J7),1)</f>
        <v>#VALUE!</v>
      </c>
      <c r="F14" s="133" t="e" cm="1" vm="1">
        <f t="array" ref="F14">_xlfn.QUARTILE.INC(_xlfn._xlws.FILTER(_xlfn.ANCHORARRAY(J7),_xlfn.ANCHORARRAY(H7)="O"),1)</f>
        <v>#VALUE!</v>
      </c>
      <c r="G14" s="133" t="e" cm="1" vm="1">
        <f t="array" ref="G14">_xlfn.QUARTILE.INC(_xlfn._xlws.FILTER(_xlfn.ANCHORARRAY(J7),_xlfn.ANCHORARRAY(H7)="Q"),1)</f>
        <v>#VALUE!</v>
      </c>
      <c r="H14" s="136"/>
      <c r="I14" s="136"/>
      <c r="J14" s="136"/>
      <c r="L14" s="136"/>
      <c r="M14" s="136"/>
      <c r="N14" s="136"/>
      <c r="O14" s="136"/>
      <c r="P14" s="136"/>
      <c r="Q14" s="136"/>
      <c r="S14" s="135" t="s">
        <v>176</v>
      </c>
      <c r="T14" s="135" t="s">
        <v>177</v>
      </c>
      <c r="U14" s="135" t="s">
        <v>178</v>
      </c>
      <c r="V14" s="135" t="s">
        <v>179</v>
      </c>
    </row>
    <row r="15" spans="1:22" x14ac:dyDescent="0.35">
      <c r="A15" s="130" t="s">
        <v>164</v>
      </c>
      <c r="B15" s="132" t="e" vm="1">
        <f>_xlfn.QUARTILE.INC(_xlfn.ANCHORARRAY(I7),3)</f>
        <v>#VALUE!</v>
      </c>
      <c r="C15" s="132" t="e" cm="1" vm="1">
        <f t="array" ref="C15">_xlfn.QUARTILE.INC(_xlfn._xlws.FILTER(_xlfn.ANCHORARRAY(I7),_xlfn.ANCHORARRAY(H7)="O"),3)</f>
        <v>#VALUE!</v>
      </c>
      <c r="D15" s="132" t="e" cm="1" vm="1">
        <f t="array" ref="D15">_xlfn.QUARTILE.INC(_xlfn._xlws.FILTER(_xlfn.ANCHORARRAY(I7),_xlfn.ANCHORARRAY(H7)="Q"),3)</f>
        <v>#VALUE!</v>
      </c>
      <c r="E15" s="133" t="e" vm="1">
        <f>_xlfn.QUARTILE.INC(_xlfn.ANCHORARRAY(J7),3)</f>
        <v>#VALUE!</v>
      </c>
      <c r="F15" s="133" t="e" cm="1" vm="1">
        <f t="array" ref="F15">_xlfn.QUARTILE.INC(_xlfn._xlws.FILTER(_xlfn.ANCHORARRAY(J7),_xlfn.ANCHORARRAY(H7)="O"),3)</f>
        <v>#VALUE!</v>
      </c>
      <c r="G15" s="133" t="e" cm="1" vm="1">
        <f t="array" ref="G15">_xlfn.QUARTILE.INC(_xlfn._xlws.FILTER(_xlfn.ANCHORARRAY(J7),_xlfn.ANCHORARRAY(H7)="Q"),3)</f>
        <v>#VALUE!</v>
      </c>
      <c r="H15" s="136"/>
      <c r="I15" s="136"/>
      <c r="J15" s="136"/>
      <c r="L15" s="136"/>
      <c r="M15" s="136"/>
      <c r="N15" s="136"/>
      <c r="O15" s="136"/>
      <c r="P15" s="136"/>
      <c r="Q15" s="136"/>
      <c r="S15" s="136" t="e" cm="1" vm="1">
        <f t="array" ref="S15">$T$11*_xlfn.SEQUENCE($T$12)</f>
        <v>#VALUE!</v>
      </c>
      <c r="T15" s="136" t="e" cm="1" vm="1">
        <f t="array" ref="T15">"≤"&amp;TEXT(_xlfn.ANCHORARRAY(S15),"0.0")</f>
        <v>#VALUE!</v>
      </c>
      <c r="U15" s="136" t="e" cm="1" vm="1">
        <f t="array" ref="U15">FREQUENCY(_xlfn.ANCHORARRAY(J7),_xlfn.ANCHORARRAY(S15)-0.0001)</f>
        <v>#VALUE!</v>
      </c>
      <c r="V15" s="136" t="e" cm="1" vm="1">
        <f t="array" ref="V15">(_xlfn.NORM.DIST(_xlfn.ANCHORARRAY(S15),$T$6,$T$7,TRUE)-_xlfn.NORM.DIST(_xlfn.ANCHORARRAY(S15)-$T$11,$T$6,$T$7,TRUE))*$T$10</f>
        <v>#VALUE!</v>
      </c>
    </row>
    <row r="16" spans="1:22" x14ac:dyDescent="0.35">
      <c r="A16" s="130" t="s">
        <v>165</v>
      </c>
      <c r="B16" s="132" t="e" vm="1">
        <f t="shared" ref="B16:G16" si="1">B15-B14</f>
        <v>#VALUE!</v>
      </c>
      <c r="C16" s="132" t="e" vm="1">
        <f t="shared" si="1"/>
        <v>#VALUE!</v>
      </c>
      <c r="D16" s="132" t="e" vm="1">
        <f t="shared" si="1"/>
        <v>#VALUE!</v>
      </c>
      <c r="E16" s="133" t="e" vm="1">
        <f t="shared" si="1"/>
        <v>#VALUE!</v>
      </c>
      <c r="F16" s="133" t="e" vm="1">
        <f t="shared" si="1"/>
        <v>#VALUE!</v>
      </c>
      <c r="G16" s="133" t="e" vm="1">
        <f t="shared" si="1"/>
        <v>#VALUE!</v>
      </c>
      <c r="H16" s="136"/>
      <c r="I16" s="136"/>
      <c r="J16" s="136"/>
      <c r="L16" s="136"/>
      <c r="M16" s="136"/>
      <c r="N16" s="136"/>
      <c r="O16" s="136"/>
      <c r="P16" s="136"/>
      <c r="Q16" s="136"/>
      <c r="S16" s="136"/>
      <c r="T16" s="136"/>
      <c r="U16" s="136"/>
      <c r="V16" s="136"/>
    </row>
    <row r="17" spans="1:22" x14ac:dyDescent="0.35">
      <c r="A17" s="130" t="s">
        <v>166</v>
      </c>
      <c r="B17" s="132" t="e" vm="1">
        <f>_xlfn.STDEV.S(_xlfn.ANCHORARRAY(I7))</f>
        <v>#VALUE!</v>
      </c>
      <c r="C17" s="132" t="e" cm="1" vm="1">
        <f t="array" ref="C17">_xlfn.STDEV.S(_xlfn._xlws.FILTER(_xlfn.ANCHORARRAY(I7),_xlfn.ANCHORARRAY(H7)="O"))</f>
        <v>#VALUE!</v>
      </c>
      <c r="D17" s="132" t="e" cm="1" vm="1">
        <f t="array" ref="D17">_xlfn.STDEV.S(_xlfn._xlws.FILTER(_xlfn.ANCHORARRAY(I7),_xlfn.ANCHORARRAY(H7)="Q"))</f>
        <v>#VALUE!</v>
      </c>
      <c r="E17" s="133" t="e" vm="1">
        <f>_xlfn.STDEV.S(_xlfn.ANCHORARRAY(J7))</f>
        <v>#VALUE!</v>
      </c>
      <c r="F17" s="133" t="e" cm="1" vm="1">
        <f t="array" ref="F17">_xlfn.STDEV.S(_xlfn._xlws.FILTER(_xlfn.ANCHORARRAY(J7),_xlfn.ANCHORARRAY(H7)="O"))</f>
        <v>#VALUE!</v>
      </c>
      <c r="G17" s="133" t="e" cm="1" vm="1">
        <f t="array" ref="G17">_xlfn.STDEV.S(_xlfn._xlws.FILTER(_xlfn.ANCHORARRAY(J7),_xlfn.ANCHORARRAY(H7)="Q"))</f>
        <v>#VALUE!</v>
      </c>
      <c r="H17" s="136"/>
      <c r="I17" s="136"/>
      <c r="J17" s="136"/>
      <c r="L17" s="136"/>
      <c r="M17" s="136"/>
      <c r="N17" s="136"/>
      <c r="O17" s="136"/>
      <c r="P17" s="136"/>
      <c r="Q17" s="136"/>
      <c r="S17" s="136"/>
      <c r="T17" s="136"/>
      <c r="U17" s="136"/>
      <c r="V17" s="136"/>
    </row>
    <row r="18" spans="1:22" x14ac:dyDescent="0.35">
      <c r="A18" s="130" t="s">
        <v>167</v>
      </c>
      <c r="B18" s="132" t="e" vm="1">
        <f>_xlfn.VAR.S(_xlfn.ANCHORARRAY(I7))</f>
        <v>#VALUE!</v>
      </c>
      <c r="C18" s="132" t="e" cm="1" vm="1">
        <f t="array" ref="C18">_xlfn.VAR.S(_xlfn._xlws.FILTER(_xlfn.ANCHORARRAY(I7),_xlfn.ANCHORARRAY(H7)="O"))</f>
        <v>#VALUE!</v>
      </c>
      <c r="D18" s="132" t="e" cm="1" vm="1">
        <f t="array" ref="D18">_xlfn.VAR.S(_xlfn._xlws.FILTER(_xlfn.ANCHORARRAY(I7),_xlfn.ANCHORARRAY(H7)="Q"))</f>
        <v>#VALUE!</v>
      </c>
      <c r="E18" s="133" t="e" vm="1">
        <f>_xlfn.VAR.S(_xlfn.ANCHORARRAY(J7))</f>
        <v>#VALUE!</v>
      </c>
      <c r="F18" s="133" t="e" cm="1" vm="1">
        <f t="array" ref="F18">_xlfn.VAR.S(_xlfn._xlws.FILTER(_xlfn.ANCHORARRAY(J7),_xlfn.ANCHORARRAY(H7)="O"))</f>
        <v>#VALUE!</v>
      </c>
      <c r="G18" s="133" t="e" cm="1" vm="1">
        <f t="array" ref="G18">_xlfn.VAR.S(_xlfn._xlws.FILTER(_xlfn.ANCHORARRAY(J7),_xlfn.ANCHORARRAY(H7)="Q"))</f>
        <v>#VALUE!</v>
      </c>
      <c r="H18" s="136"/>
      <c r="I18" s="136"/>
      <c r="J18" s="136"/>
      <c r="L18" s="136"/>
      <c r="M18" s="136"/>
      <c r="N18" s="136"/>
      <c r="O18" s="136"/>
      <c r="P18" s="136"/>
      <c r="Q18" s="136"/>
      <c r="S18" s="136"/>
      <c r="T18" s="136"/>
      <c r="U18" s="136"/>
      <c r="V18" s="136"/>
    </row>
    <row r="19" spans="1:22" x14ac:dyDescent="0.35">
      <c r="A19" s="130" t="s">
        <v>168</v>
      </c>
      <c r="B19" s="134" t="e" vm="1">
        <f t="shared" ref="B19:G19" si="2">B17/B9</f>
        <v>#VALUE!</v>
      </c>
      <c r="C19" s="134" t="e" vm="1">
        <f t="shared" si="2"/>
        <v>#VALUE!</v>
      </c>
      <c r="D19" s="134" t="e" vm="1">
        <f t="shared" si="2"/>
        <v>#VALUE!</v>
      </c>
      <c r="E19" s="134" t="e" vm="1">
        <f t="shared" si="2"/>
        <v>#VALUE!</v>
      </c>
      <c r="F19" s="134" t="e" vm="1">
        <f t="shared" si="2"/>
        <v>#VALUE!</v>
      </c>
      <c r="G19" s="134" t="e" vm="1">
        <f t="shared" si="2"/>
        <v>#VALUE!</v>
      </c>
      <c r="H19" s="136"/>
      <c r="I19" s="136"/>
      <c r="J19" s="136"/>
      <c r="L19" s="136"/>
      <c r="M19" s="136"/>
      <c r="N19" s="136"/>
      <c r="O19" s="136"/>
      <c r="P19" s="136"/>
      <c r="Q19" s="136"/>
      <c r="S19" s="136"/>
      <c r="T19" s="136"/>
      <c r="U19" s="136"/>
      <c r="V19" s="136"/>
    </row>
    <row r="20" spans="1:22" x14ac:dyDescent="0.35">
      <c r="A20" s="130" t="s">
        <v>169</v>
      </c>
      <c r="B20" s="133" t="e" vm="1">
        <f>SKEW(_xlfn.ANCHORARRAY(I7))</f>
        <v>#VALUE!</v>
      </c>
      <c r="C20" s="133" t="e" cm="1" vm="1">
        <f t="array" ref="C20">SKEW(_xlfn._xlws.FILTER(_xlfn.ANCHORARRAY(I7),_xlfn.ANCHORARRAY(H7)="O"))</f>
        <v>#VALUE!</v>
      </c>
      <c r="D20" s="133" t="e" cm="1" vm="1">
        <f t="array" ref="D20">SKEW(_xlfn._xlws.FILTER(_xlfn.ANCHORARRAY(I7),_xlfn.ANCHORARRAY(H7)="Q"))</f>
        <v>#VALUE!</v>
      </c>
      <c r="E20" s="133" t="e" vm="1">
        <f>SKEW(_xlfn.ANCHORARRAY(J7))</f>
        <v>#VALUE!</v>
      </c>
      <c r="F20" s="133" t="e" cm="1" vm="1">
        <f t="array" ref="F20">SKEW(_xlfn._xlws.FILTER(_xlfn.ANCHORARRAY(J7),_xlfn.ANCHORARRAY(H7)="O"))</f>
        <v>#VALUE!</v>
      </c>
      <c r="G20" s="133" t="e" cm="1" vm="1">
        <f t="array" ref="G20">SKEW(_xlfn._xlws.FILTER(_xlfn.ANCHORARRAY(J7),_xlfn.ANCHORARRAY(H7)="Q"))</f>
        <v>#VALUE!</v>
      </c>
      <c r="H20" s="136"/>
      <c r="I20" s="136"/>
      <c r="J20" s="136"/>
      <c r="L20" s="136"/>
      <c r="M20" s="136"/>
      <c r="N20" s="136"/>
      <c r="O20" s="136"/>
      <c r="P20" s="136"/>
      <c r="Q20" s="136"/>
      <c r="S20" s="136"/>
      <c r="T20" s="136"/>
      <c r="U20" s="136"/>
      <c r="V20" s="136"/>
    </row>
    <row r="21" spans="1:22" x14ac:dyDescent="0.35">
      <c r="A21" s="130" t="s">
        <v>170</v>
      </c>
      <c r="B21" s="133" t="e" vm="1">
        <f>KURT(_xlfn.ANCHORARRAY(I7))</f>
        <v>#VALUE!</v>
      </c>
      <c r="C21" s="133" t="e" cm="1" vm="1">
        <f t="array" ref="C21">KURT(_xlfn._xlws.FILTER(_xlfn.ANCHORARRAY(I7),_xlfn.ANCHORARRAY(H7)="O"))</f>
        <v>#VALUE!</v>
      </c>
      <c r="D21" s="133" t="e" cm="1" vm="1">
        <f t="array" ref="D21">KURT(_xlfn._xlws.FILTER(_xlfn.ANCHORARRAY(I7),_xlfn.ANCHORARRAY(H7)="Q"))</f>
        <v>#VALUE!</v>
      </c>
      <c r="E21" s="133" t="e" vm="1">
        <f>KURT(_xlfn.ANCHORARRAY(J7))</f>
        <v>#VALUE!</v>
      </c>
      <c r="F21" s="133" t="e" cm="1" vm="1">
        <f t="array" ref="F21">KURT(_xlfn._xlws.FILTER(_xlfn.ANCHORARRAY(J7),_xlfn.ANCHORARRAY(H7)="O"))</f>
        <v>#VALUE!</v>
      </c>
      <c r="G21" s="133" t="e" cm="1" vm="1">
        <f t="array" ref="G21">KURT(_xlfn._xlws.FILTER(_xlfn.ANCHORARRAY(J7),_xlfn.ANCHORARRAY(H7)="Q"))</f>
        <v>#VALUE!</v>
      </c>
      <c r="H21" s="136"/>
      <c r="I21" s="136"/>
      <c r="J21" s="136"/>
      <c r="L21" s="136"/>
      <c r="M21" s="136"/>
      <c r="N21" s="136"/>
      <c r="O21" s="136"/>
      <c r="P21" s="136"/>
      <c r="Q21" s="136"/>
      <c r="S21" s="136"/>
      <c r="T21" s="136"/>
      <c r="U21" s="136"/>
      <c r="V21" s="136"/>
    </row>
    <row r="22" spans="1:22" x14ac:dyDescent="0.35">
      <c r="H22" s="136"/>
      <c r="I22" s="136"/>
      <c r="J22" s="136"/>
      <c r="L22" s="136"/>
      <c r="M22" s="136"/>
      <c r="N22" s="136"/>
      <c r="O22" s="136"/>
      <c r="P22" s="136"/>
      <c r="Q22" s="136"/>
      <c r="S22" s="136"/>
      <c r="T22" s="136"/>
      <c r="U22" s="136"/>
      <c r="V22" s="136"/>
    </row>
    <row r="23" spans="1:22" ht="15.5" x14ac:dyDescent="0.35">
      <c r="A23" s="128" t="s">
        <v>171</v>
      </c>
      <c r="H23" s="136"/>
      <c r="I23" s="136"/>
      <c r="J23" s="136"/>
      <c r="L23" s="136"/>
      <c r="M23" s="136"/>
      <c r="N23" s="136"/>
      <c r="O23" s="136"/>
      <c r="P23" s="136"/>
      <c r="Q23" s="136"/>
      <c r="S23" s="136"/>
      <c r="T23" s="136"/>
      <c r="U23" s="136"/>
      <c r="V23" s="136"/>
    </row>
    <row r="24" spans="1:22" x14ac:dyDescent="0.35">
      <c r="H24" s="136"/>
      <c r="I24" s="136"/>
      <c r="J24" s="136"/>
      <c r="L24" s="136"/>
      <c r="M24" s="136"/>
      <c r="N24" s="136"/>
      <c r="O24" s="136"/>
      <c r="P24" s="136"/>
      <c r="Q24" s="136"/>
      <c r="S24" s="136"/>
      <c r="T24" s="136"/>
      <c r="U24" s="136"/>
      <c r="V24" s="136"/>
    </row>
    <row r="25" spans="1:22" x14ac:dyDescent="0.35">
      <c r="H25" s="136"/>
      <c r="I25" s="136"/>
      <c r="J25" s="136"/>
      <c r="L25" s="136"/>
      <c r="M25" s="136"/>
      <c r="N25" s="136"/>
      <c r="O25" s="136"/>
      <c r="P25" s="136"/>
      <c r="Q25" s="136"/>
      <c r="S25" s="136"/>
      <c r="T25" s="136"/>
      <c r="U25" s="136"/>
      <c r="V25" s="136"/>
    </row>
    <row r="26" spans="1:22" x14ac:dyDescent="0.35">
      <c r="H26" s="136"/>
      <c r="I26" s="136"/>
      <c r="J26" s="136"/>
      <c r="L26" s="136"/>
      <c r="M26" s="136"/>
      <c r="N26" s="136"/>
      <c r="O26" s="136"/>
      <c r="P26" s="136"/>
      <c r="Q26" s="136"/>
      <c r="S26" s="136"/>
      <c r="T26" s="136"/>
      <c r="U26" s="136"/>
      <c r="V26" s="136"/>
    </row>
    <row r="27" spans="1:22" x14ac:dyDescent="0.35">
      <c r="H27" s="136"/>
      <c r="I27" s="136"/>
      <c r="J27" s="136"/>
      <c r="L27" s="136"/>
      <c r="M27" s="136"/>
      <c r="N27" s="136"/>
      <c r="O27" s="136"/>
      <c r="P27" s="136"/>
      <c r="Q27" s="136"/>
      <c r="S27" s="136"/>
      <c r="T27" s="136"/>
      <c r="U27" s="136"/>
      <c r="V27" s="136"/>
    </row>
    <row r="28" spans="1:22" x14ac:dyDescent="0.35">
      <c r="H28" s="136"/>
      <c r="I28" s="136"/>
      <c r="J28" s="136"/>
      <c r="L28" s="136"/>
      <c r="M28" s="136"/>
      <c r="N28" s="136"/>
      <c r="O28" s="136"/>
      <c r="P28" s="136"/>
      <c r="Q28" s="136"/>
      <c r="S28" s="136"/>
      <c r="T28" s="136"/>
      <c r="U28" s="136"/>
      <c r="V28" s="136"/>
    </row>
    <row r="29" spans="1:22" x14ac:dyDescent="0.35">
      <c r="H29" s="136"/>
      <c r="I29" s="136"/>
      <c r="J29" s="136"/>
      <c r="L29" s="136"/>
      <c r="M29" s="136"/>
      <c r="N29" s="136"/>
      <c r="O29" s="136"/>
      <c r="P29" s="136"/>
      <c r="Q29" s="136"/>
      <c r="S29" s="136"/>
      <c r="T29" s="136"/>
      <c r="U29" s="136"/>
      <c r="V29" s="136"/>
    </row>
    <row r="30" spans="1:22" x14ac:dyDescent="0.35">
      <c r="H30" s="136"/>
      <c r="I30" s="136"/>
      <c r="J30" s="136"/>
      <c r="L30" s="136"/>
      <c r="M30" s="136"/>
      <c r="N30" s="136"/>
      <c r="O30" s="136"/>
      <c r="P30" s="136"/>
      <c r="Q30" s="136"/>
      <c r="S30" s="136"/>
      <c r="T30" s="136"/>
      <c r="U30" s="136"/>
      <c r="V30" s="136"/>
    </row>
    <row r="31" spans="1:22" x14ac:dyDescent="0.35">
      <c r="H31" s="136"/>
      <c r="I31" s="136"/>
      <c r="J31" s="136"/>
      <c r="L31" s="136"/>
      <c r="M31" s="136"/>
      <c r="N31" s="136"/>
      <c r="O31" s="136"/>
      <c r="P31" s="136"/>
      <c r="Q31" s="136"/>
      <c r="S31" s="136"/>
      <c r="T31" s="136"/>
      <c r="U31" s="136"/>
      <c r="V31" s="136"/>
    </row>
    <row r="32" spans="1:22" x14ac:dyDescent="0.35">
      <c r="H32" s="136"/>
      <c r="I32" s="136"/>
      <c r="J32" s="136"/>
      <c r="L32" s="136"/>
      <c r="M32" s="136"/>
      <c r="N32" s="136"/>
      <c r="O32" s="136"/>
      <c r="P32" s="136"/>
      <c r="Q32" s="136"/>
      <c r="S32" s="136"/>
      <c r="T32" s="136"/>
      <c r="U32" s="136"/>
      <c r="V32" s="136"/>
    </row>
    <row r="33" spans="8:22" x14ac:dyDescent="0.35">
      <c r="H33" s="136"/>
      <c r="I33" s="136"/>
      <c r="J33" s="136"/>
      <c r="L33" s="136"/>
      <c r="M33" s="136"/>
      <c r="N33" s="136"/>
      <c r="O33" s="136"/>
      <c r="P33" s="136"/>
      <c r="Q33" s="136"/>
      <c r="S33" s="136"/>
      <c r="T33" s="136"/>
      <c r="U33" s="136"/>
      <c r="V33" s="136"/>
    </row>
    <row r="34" spans="8:22" x14ac:dyDescent="0.35">
      <c r="H34" s="136"/>
      <c r="I34" s="136"/>
      <c r="J34" s="136"/>
      <c r="L34" s="136"/>
      <c r="M34" s="136"/>
      <c r="N34" s="136"/>
      <c r="O34" s="136"/>
      <c r="P34" s="136"/>
      <c r="Q34" s="136"/>
      <c r="S34" s="136"/>
      <c r="T34" s="136"/>
      <c r="U34" s="136"/>
      <c r="V34" s="136"/>
    </row>
    <row r="35" spans="8:22" x14ac:dyDescent="0.35">
      <c r="H35" s="136"/>
      <c r="I35" s="136"/>
      <c r="J35" s="136"/>
      <c r="L35" s="136"/>
      <c r="M35" s="136"/>
      <c r="N35" s="136"/>
      <c r="O35" s="136"/>
      <c r="P35" s="136"/>
      <c r="Q35" s="136"/>
      <c r="S35" s="136"/>
      <c r="T35" s="136"/>
      <c r="U35" s="136"/>
      <c r="V35" s="136"/>
    </row>
    <row r="36" spans="8:22" x14ac:dyDescent="0.35">
      <c r="H36" s="136"/>
      <c r="I36" s="136"/>
      <c r="J36" s="136"/>
      <c r="L36" s="136"/>
      <c r="M36" s="136"/>
      <c r="N36" s="136"/>
      <c r="O36" s="136"/>
      <c r="P36" s="136"/>
      <c r="Q36" s="136"/>
    </row>
    <row r="37" spans="8:22" x14ac:dyDescent="0.35">
      <c r="H37" s="136"/>
      <c r="I37" s="136"/>
      <c r="J37" s="136"/>
      <c r="L37" s="136"/>
      <c r="M37" s="136"/>
      <c r="N37" s="136"/>
      <c r="O37" s="136"/>
      <c r="P37" s="136"/>
      <c r="Q37" s="136"/>
    </row>
    <row r="38" spans="8:22" x14ac:dyDescent="0.35">
      <c r="H38" s="136"/>
      <c r="I38" s="136"/>
      <c r="J38" s="136"/>
      <c r="L38" s="136"/>
      <c r="M38" s="136"/>
      <c r="N38" s="136"/>
      <c r="O38" s="136"/>
      <c r="P38" s="136"/>
      <c r="Q38" s="136"/>
    </row>
    <row r="39" spans="8:22" x14ac:dyDescent="0.35">
      <c r="H39" s="136"/>
      <c r="I39" s="136"/>
      <c r="J39" s="136"/>
      <c r="L39" s="136"/>
      <c r="M39" s="136"/>
      <c r="N39" s="136"/>
      <c r="O39" s="136"/>
      <c r="P39" s="136"/>
      <c r="Q39" s="136"/>
    </row>
    <row r="40" spans="8:22" x14ac:dyDescent="0.35">
      <c r="H40" s="136"/>
      <c r="I40" s="136"/>
      <c r="J40" s="136"/>
      <c r="L40" s="136"/>
      <c r="M40" s="136"/>
      <c r="N40" s="136"/>
      <c r="O40" s="136"/>
      <c r="P40" s="136"/>
      <c r="Q40" s="136"/>
    </row>
    <row r="41" spans="8:22" x14ac:dyDescent="0.35">
      <c r="H41" s="136"/>
      <c r="I41" s="136"/>
      <c r="J41" s="136"/>
      <c r="L41" s="136"/>
      <c r="M41" s="136"/>
      <c r="N41" s="136"/>
      <c r="O41" s="136"/>
      <c r="P41" s="136"/>
      <c r="Q41" s="136"/>
    </row>
    <row r="42" spans="8:22" x14ac:dyDescent="0.35">
      <c r="H42" s="136"/>
      <c r="I42" s="136"/>
      <c r="J42" s="136"/>
      <c r="L42" s="136"/>
      <c r="M42" s="136"/>
      <c r="N42" s="136"/>
      <c r="O42" s="136"/>
      <c r="P42" s="136"/>
      <c r="Q42" s="136"/>
    </row>
    <row r="43" spans="8:22" x14ac:dyDescent="0.35">
      <c r="H43" s="136"/>
      <c r="I43" s="136"/>
      <c r="J43" s="136"/>
      <c r="L43" s="136"/>
      <c r="M43" s="136"/>
      <c r="N43" s="136"/>
      <c r="O43" s="136"/>
      <c r="P43" s="136"/>
      <c r="Q43" s="136"/>
    </row>
    <row r="44" spans="8:22" x14ac:dyDescent="0.35">
      <c r="H44" s="136"/>
      <c r="I44" s="136"/>
      <c r="J44" s="136"/>
      <c r="L44" s="136"/>
      <c r="M44" s="136"/>
      <c r="N44" s="136"/>
      <c r="O44" s="136"/>
      <c r="P44" s="136"/>
      <c r="Q44" s="136"/>
    </row>
    <row r="45" spans="8:22" x14ac:dyDescent="0.35">
      <c r="H45" s="136"/>
      <c r="I45" s="136"/>
      <c r="J45" s="136"/>
      <c r="L45" s="136"/>
      <c r="M45" s="136"/>
      <c r="N45" s="136"/>
      <c r="O45" s="136"/>
      <c r="P45" s="136"/>
      <c r="Q45" s="136"/>
    </row>
    <row r="46" spans="8:22" x14ac:dyDescent="0.35">
      <c r="H46" s="136"/>
      <c r="I46" s="136"/>
      <c r="J46" s="136"/>
      <c r="L46" s="136"/>
      <c r="M46" s="136"/>
      <c r="N46" s="136"/>
      <c r="O46" s="136"/>
      <c r="P46" s="136"/>
      <c r="Q46" s="136"/>
    </row>
    <row r="47" spans="8:22" x14ac:dyDescent="0.35">
      <c r="H47" s="136"/>
      <c r="I47" s="136"/>
      <c r="J47" s="136"/>
      <c r="L47" s="136"/>
      <c r="M47" s="136"/>
      <c r="N47" s="136"/>
      <c r="O47" s="136"/>
      <c r="P47" s="136"/>
      <c r="Q47" s="136"/>
    </row>
    <row r="48" spans="8:22" x14ac:dyDescent="0.35">
      <c r="H48" s="136"/>
      <c r="I48" s="136"/>
      <c r="J48" s="136"/>
      <c r="L48" s="136"/>
      <c r="M48" s="136"/>
      <c r="N48" s="136"/>
      <c r="O48" s="136"/>
      <c r="P48" s="136"/>
      <c r="Q48" s="136"/>
    </row>
    <row r="49" spans="8:17" x14ac:dyDescent="0.35">
      <c r="H49" s="136"/>
      <c r="I49" s="136"/>
      <c r="J49" s="136"/>
      <c r="L49" s="136"/>
      <c r="M49" s="136"/>
      <c r="N49" s="136"/>
      <c r="O49" s="136"/>
      <c r="P49" s="136"/>
      <c r="Q49" s="136"/>
    </row>
    <row r="50" spans="8:17" x14ac:dyDescent="0.35">
      <c r="H50" s="136"/>
      <c r="I50" s="136"/>
      <c r="J50" s="136"/>
      <c r="L50" s="136"/>
      <c r="M50" s="136"/>
      <c r="N50" s="136"/>
      <c r="O50" s="136"/>
      <c r="P50" s="136"/>
      <c r="Q50" s="136"/>
    </row>
    <row r="51" spans="8:17" x14ac:dyDescent="0.35">
      <c r="H51" s="136"/>
      <c r="I51" s="136"/>
      <c r="J51" s="136"/>
      <c r="L51" s="136"/>
      <c r="M51" s="136"/>
      <c r="N51" s="136"/>
      <c r="O51" s="136"/>
      <c r="P51" s="136"/>
      <c r="Q51" s="136"/>
    </row>
    <row r="52" spans="8:17" x14ac:dyDescent="0.35">
      <c r="H52" s="136"/>
      <c r="I52" s="136"/>
      <c r="J52" s="136"/>
      <c r="L52" s="136"/>
      <c r="M52" s="136"/>
      <c r="N52" s="136"/>
      <c r="O52" s="136"/>
      <c r="P52" s="136"/>
      <c r="Q52" s="136"/>
    </row>
    <row r="53" spans="8:17" x14ac:dyDescent="0.35">
      <c r="H53" s="136"/>
      <c r="I53" s="136"/>
      <c r="J53" s="136"/>
      <c r="L53" s="136"/>
      <c r="M53" s="136"/>
      <c r="N53" s="136"/>
      <c r="O53" s="136"/>
      <c r="P53" s="136"/>
      <c r="Q53" s="136"/>
    </row>
    <row r="54" spans="8:17" x14ac:dyDescent="0.35">
      <c r="H54" s="136"/>
      <c r="I54" s="136"/>
      <c r="J54" s="136"/>
      <c r="L54" s="136"/>
      <c r="M54" s="136"/>
      <c r="N54" s="136"/>
      <c r="O54" s="136"/>
      <c r="P54" s="136"/>
      <c r="Q54" s="136"/>
    </row>
    <row r="55" spans="8:17" x14ac:dyDescent="0.35">
      <c r="H55" s="136"/>
      <c r="I55" s="136"/>
      <c r="J55" s="136"/>
      <c r="L55" s="136"/>
      <c r="M55" s="136"/>
      <c r="N55" s="136"/>
      <c r="O55" s="136"/>
      <c r="P55" s="136"/>
      <c r="Q55" s="136"/>
    </row>
    <row r="56" spans="8:17" x14ac:dyDescent="0.35">
      <c r="H56" s="136"/>
      <c r="I56" s="136"/>
      <c r="J56" s="136"/>
      <c r="L56" s="136"/>
      <c r="M56" s="136"/>
      <c r="N56" s="136"/>
      <c r="O56" s="136"/>
      <c r="P56" s="136"/>
      <c r="Q56" s="136"/>
    </row>
    <row r="57" spans="8:17" x14ac:dyDescent="0.35">
      <c r="H57" s="136"/>
      <c r="I57" s="136"/>
      <c r="J57" s="136"/>
      <c r="L57" s="136"/>
      <c r="M57" s="136"/>
      <c r="N57" s="136"/>
      <c r="O57" s="136"/>
      <c r="P57" s="136"/>
      <c r="Q57" s="136"/>
    </row>
    <row r="58" spans="8:17" x14ac:dyDescent="0.35">
      <c r="H58" s="136"/>
      <c r="I58" s="136"/>
      <c r="J58" s="136"/>
      <c r="L58" s="136"/>
      <c r="M58" s="136"/>
      <c r="N58" s="136"/>
      <c r="O58" s="136"/>
      <c r="P58" s="136"/>
      <c r="Q58" s="136"/>
    </row>
    <row r="59" spans="8:17" x14ac:dyDescent="0.35">
      <c r="H59" s="136"/>
      <c r="I59" s="136"/>
      <c r="J59" s="136"/>
      <c r="L59" s="136"/>
      <c r="M59" s="136"/>
      <c r="N59" s="136"/>
      <c r="O59" s="136"/>
      <c r="P59" s="136"/>
      <c r="Q59" s="136"/>
    </row>
    <row r="60" spans="8:17" x14ac:dyDescent="0.35">
      <c r="H60" s="136"/>
      <c r="I60" s="136"/>
      <c r="J60" s="136"/>
      <c r="L60" s="136"/>
      <c r="M60" s="136"/>
      <c r="N60" s="136"/>
      <c r="O60" s="136"/>
      <c r="P60" s="136"/>
      <c r="Q60" s="136"/>
    </row>
    <row r="61" spans="8:17" x14ac:dyDescent="0.35">
      <c r="H61" s="136"/>
      <c r="I61" s="136"/>
      <c r="J61" s="136"/>
      <c r="L61" s="136"/>
      <c r="M61" s="136"/>
      <c r="N61" s="136"/>
      <c r="O61" s="136"/>
      <c r="P61" s="136"/>
      <c r="Q61" s="136"/>
    </row>
    <row r="62" spans="8:17" x14ac:dyDescent="0.35">
      <c r="H62" s="136"/>
      <c r="I62" s="136"/>
      <c r="J62" s="136"/>
      <c r="L62" s="136"/>
      <c r="M62" s="136"/>
      <c r="N62" s="136"/>
      <c r="O62" s="136"/>
      <c r="P62" s="136"/>
      <c r="Q62" s="136"/>
    </row>
    <row r="63" spans="8:17" x14ac:dyDescent="0.35">
      <c r="H63" s="136"/>
      <c r="I63" s="136"/>
      <c r="J63" s="136"/>
      <c r="L63" s="136"/>
      <c r="M63" s="136"/>
      <c r="N63" s="136"/>
      <c r="O63" s="136"/>
      <c r="P63" s="136"/>
      <c r="Q63" s="136"/>
    </row>
    <row r="64" spans="8:17" x14ac:dyDescent="0.35">
      <c r="H64" s="136"/>
      <c r="I64" s="136"/>
      <c r="J64" s="136"/>
      <c r="L64" s="136"/>
      <c r="M64" s="136"/>
      <c r="N64" s="136"/>
      <c r="O64" s="136"/>
      <c r="P64" s="136"/>
      <c r="Q64" s="136"/>
    </row>
    <row r="65" spans="8:17" x14ac:dyDescent="0.35">
      <c r="H65" s="136"/>
      <c r="I65" s="136"/>
      <c r="J65" s="136"/>
      <c r="L65" s="136"/>
      <c r="M65" s="136"/>
      <c r="N65" s="136"/>
      <c r="O65" s="136"/>
      <c r="P65" s="136"/>
      <c r="Q65" s="136"/>
    </row>
    <row r="66" spans="8:17" x14ac:dyDescent="0.35">
      <c r="H66" s="136"/>
      <c r="I66" s="136"/>
      <c r="J66" s="136"/>
      <c r="L66" s="136"/>
      <c r="M66" s="136"/>
      <c r="N66" s="136"/>
      <c r="O66" s="136"/>
      <c r="P66" s="136"/>
      <c r="Q66" s="136"/>
    </row>
    <row r="67" spans="8:17" x14ac:dyDescent="0.35">
      <c r="H67" s="136"/>
      <c r="I67" s="136"/>
      <c r="J67" s="136"/>
      <c r="L67" s="136"/>
      <c r="M67" s="136"/>
      <c r="N67" s="136"/>
      <c r="O67" s="136"/>
      <c r="P67" s="136"/>
      <c r="Q67" s="136"/>
    </row>
    <row r="68" spans="8:17" x14ac:dyDescent="0.35">
      <c r="H68" s="136"/>
      <c r="I68" s="136"/>
      <c r="J68" s="136"/>
      <c r="L68" s="136"/>
      <c r="M68" s="136"/>
      <c r="N68" s="136"/>
      <c r="O68" s="136"/>
      <c r="P68" s="136"/>
      <c r="Q68" s="136"/>
    </row>
    <row r="69" spans="8:17" x14ac:dyDescent="0.35">
      <c r="H69" s="136"/>
      <c r="I69" s="136"/>
      <c r="J69" s="136"/>
      <c r="L69" s="136"/>
      <c r="M69" s="136"/>
      <c r="N69" s="136"/>
      <c r="O69" s="136"/>
      <c r="P69" s="136"/>
      <c r="Q69" s="136"/>
    </row>
    <row r="70" spans="8:17" x14ac:dyDescent="0.35">
      <c r="H70" s="136"/>
      <c r="I70" s="136"/>
      <c r="J70" s="136"/>
      <c r="L70" s="136"/>
      <c r="M70" s="136"/>
      <c r="N70" s="136"/>
      <c r="O70" s="136"/>
      <c r="P70" s="136"/>
      <c r="Q70" s="136"/>
    </row>
    <row r="71" spans="8:17" x14ac:dyDescent="0.35">
      <c r="H71" s="136"/>
      <c r="I71" s="136"/>
      <c r="J71" s="136"/>
      <c r="L71" s="136"/>
      <c r="M71" s="136"/>
      <c r="N71" s="136"/>
      <c r="O71" s="136"/>
      <c r="P71" s="136"/>
      <c r="Q71" s="136"/>
    </row>
    <row r="72" spans="8:17" x14ac:dyDescent="0.35">
      <c r="H72" s="136"/>
      <c r="I72" s="136"/>
      <c r="J72" s="136"/>
      <c r="L72" s="136"/>
      <c r="M72" s="136"/>
      <c r="N72" s="136"/>
      <c r="O72" s="136"/>
      <c r="P72" s="136"/>
      <c r="Q72" s="136"/>
    </row>
    <row r="73" spans="8:17" x14ac:dyDescent="0.35">
      <c r="H73" s="136"/>
      <c r="I73" s="136"/>
      <c r="J73" s="136"/>
      <c r="L73" s="136"/>
      <c r="M73" s="136"/>
      <c r="N73" s="136"/>
      <c r="O73" s="136"/>
      <c r="P73" s="136"/>
      <c r="Q73" s="136"/>
    </row>
    <row r="74" spans="8:17" x14ac:dyDescent="0.35">
      <c r="H74" s="136"/>
      <c r="I74" s="136"/>
      <c r="J74" s="136"/>
      <c r="L74" s="136"/>
      <c r="M74" s="136"/>
      <c r="N74" s="136"/>
      <c r="O74" s="136"/>
      <c r="P74" s="136"/>
      <c r="Q74" s="136"/>
    </row>
    <row r="75" spans="8:17" x14ac:dyDescent="0.35">
      <c r="H75" s="136"/>
      <c r="I75" s="136"/>
      <c r="J75" s="136"/>
      <c r="L75" s="136"/>
      <c r="M75" s="136"/>
      <c r="N75" s="136"/>
      <c r="O75" s="136"/>
      <c r="P75" s="136"/>
      <c r="Q75" s="136"/>
    </row>
    <row r="76" spans="8:17" x14ac:dyDescent="0.35">
      <c r="H76" s="136"/>
      <c r="I76" s="136"/>
      <c r="J76" s="136"/>
      <c r="L76" s="136"/>
      <c r="M76" s="136"/>
      <c r="N76" s="136"/>
      <c r="O76" s="136"/>
      <c r="P76" s="136"/>
      <c r="Q76" s="136"/>
    </row>
    <row r="77" spans="8:17" x14ac:dyDescent="0.35">
      <c r="H77" s="136"/>
      <c r="I77" s="136"/>
      <c r="J77" s="136"/>
      <c r="L77" s="136"/>
      <c r="M77" s="136"/>
      <c r="N77" s="136"/>
      <c r="O77" s="136"/>
      <c r="P77" s="136"/>
      <c r="Q77" s="136"/>
    </row>
    <row r="78" spans="8:17" x14ac:dyDescent="0.35">
      <c r="H78" s="136"/>
      <c r="I78" s="136"/>
      <c r="J78" s="136"/>
      <c r="L78" s="136"/>
      <c r="M78" s="136"/>
      <c r="N78" s="136"/>
      <c r="O78" s="136"/>
      <c r="P78" s="136"/>
      <c r="Q78" s="136"/>
    </row>
    <row r="79" spans="8:17" x14ac:dyDescent="0.35">
      <c r="H79" s="136"/>
      <c r="I79" s="136"/>
      <c r="J79" s="136"/>
      <c r="L79" s="136"/>
      <c r="M79" s="136"/>
      <c r="N79" s="136"/>
      <c r="O79" s="136"/>
      <c r="P79" s="136"/>
      <c r="Q79" s="136"/>
    </row>
    <row r="80" spans="8:17" x14ac:dyDescent="0.35">
      <c r="H80" s="136"/>
      <c r="I80" s="136"/>
      <c r="J80" s="136"/>
      <c r="L80" s="136"/>
      <c r="M80" s="136"/>
      <c r="N80" s="136"/>
      <c r="O80" s="136"/>
      <c r="P80" s="136"/>
      <c r="Q80" s="136"/>
    </row>
    <row r="81" spans="8:17" x14ac:dyDescent="0.35">
      <c r="H81" s="136"/>
      <c r="I81" s="136"/>
      <c r="J81" s="136"/>
      <c r="L81" s="136"/>
      <c r="M81" s="136"/>
      <c r="N81" s="136"/>
      <c r="O81" s="136"/>
      <c r="P81" s="136"/>
      <c r="Q81" s="136"/>
    </row>
    <row r="82" spans="8:17" x14ac:dyDescent="0.35">
      <c r="H82" s="136"/>
      <c r="I82" s="136"/>
      <c r="J82" s="136"/>
      <c r="L82" s="136"/>
      <c r="M82" s="136"/>
      <c r="N82" s="136"/>
      <c r="O82" s="136"/>
      <c r="P82" s="136"/>
      <c r="Q82" s="136"/>
    </row>
    <row r="83" spans="8:17" x14ac:dyDescent="0.35">
      <c r="H83" s="136"/>
      <c r="I83" s="136"/>
      <c r="J83" s="136"/>
      <c r="L83" s="136"/>
      <c r="M83" s="136"/>
      <c r="N83" s="136"/>
      <c r="O83" s="136"/>
      <c r="P83" s="136"/>
      <c r="Q83" s="136"/>
    </row>
    <row r="84" spans="8:17" x14ac:dyDescent="0.35">
      <c r="H84" s="136"/>
      <c r="I84" s="136"/>
      <c r="J84" s="136"/>
      <c r="L84" s="136"/>
      <c r="M84" s="136"/>
      <c r="N84" s="136"/>
      <c r="O84" s="136"/>
      <c r="P84" s="136"/>
      <c r="Q84" s="136"/>
    </row>
    <row r="85" spans="8:17" x14ac:dyDescent="0.35">
      <c r="H85" s="136"/>
      <c r="I85" s="136"/>
      <c r="J85" s="136"/>
      <c r="L85" s="136"/>
      <c r="M85" s="136"/>
      <c r="N85" s="136"/>
      <c r="O85" s="136"/>
      <c r="P85" s="136"/>
      <c r="Q85" s="136"/>
    </row>
    <row r="86" spans="8:17" x14ac:dyDescent="0.35">
      <c r="H86" s="136"/>
      <c r="I86" s="136"/>
      <c r="J86" s="136"/>
      <c r="L86" s="136"/>
      <c r="M86" s="136"/>
      <c r="N86" s="136"/>
      <c r="O86" s="136"/>
      <c r="P86" s="136"/>
      <c r="Q86" s="136"/>
    </row>
    <row r="87" spans="8:17" x14ac:dyDescent="0.35">
      <c r="H87" s="136"/>
      <c r="I87" s="136"/>
      <c r="J87" s="136"/>
      <c r="L87" s="136"/>
      <c r="M87" s="136"/>
      <c r="N87" s="136"/>
      <c r="O87" s="136"/>
      <c r="P87" s="136"/>
      <c r="Q87" s="136"/>
    </row>
    <row r="88" spans="8:17" x14ac:dyDescent="0.35">
      <c r="H88" s="136"/>
      <c r="I88" s="136"/>
      <c r="J88" s="136"/>
      <c r="L88" s="136"/>
      <c r="M88" s="136"/>
      <c r="N88" s="136"/>
      <c r="O88" s="136"/>
      <c r="P88" s="136"/>
      <c r="Q88" s="136"/>
    </row>
    <row r="89" spans="8:17" x14ac:dyDescent="0.35">
      <c r="H89" s="136"/>
      <c r="I89" s="136"/>
      <c r="J89" s="136"/>
      <c r="L89" s="136"/>
      <c r="M89" s="136"/>
      <c r="N89" s="136"/>
      <c r="O89" s="136"/>
      <c r="P89" s="136"/>
      <c r="Q89" s="136"/>
    </row>
    <row r="90" spans="8:17" x14ac:dyDescent="0.35">
      <c r="H90" s="136"/>
      <c r="I90" s="136"/>
      <c r="J90" s="136"/>
      <c r="L90" s="136"/>
      <c r="M90" s="136"/>
      <c r="N90" s="136"/>
      <c r="O90" s="136"/>
      <c r="P90" s="136"/>
      <c r="Q90" s="136"/>
    </row>
    <row r="91" spans="8:17" x14ac:dyDescent="0.35">
      <c r="H91" s="136"/>
      <c r="I91" s="136"/>
      <c r="J91" s="136"/>
      <c r="L91" s="136"/>
      <c r="M91" s="136"/>
      <c r="N91" s="136"/>
      <c r="O91" s="136"/>
      <c r="P91" s="136"/>
      <c r="Q91" s="136"/>
    </row>
    <row r="92" spans="8:17" x14ac:dyDescent="0.35">
      <c r="H92" s="136"/>
      <c r="I92" s="136"/>
      <c r="J92" s="136"/>
      <c r="L92" s="136"/>
      <c r="M92" s="136"/>
      <c r="N92" s="136"/>
      <c r="O92" s="136"/>
      <c r="P92" s="136"/>
      <c r="Q92" s="136"/>
    </row>
    <row r="93" spans="8:17" x14ac:dyDescent="0.35">
      <c r="H93" s="136"/>
      <c r="I93" s="136"/>
      <c r="J93" s="136"/>
      <c r="L93" s="136"/>
      <c r="M93" s="136"/>
      <c r="N93" s="136"/>
      <c r="O93" s="136"/>
      <c r="P93" s="136"/>
      <c r="Q93" s="136"/>
    </row>
    <row r="94" spans="8:17" x14ac:dyDescent="0.35">
      <c r="H94" s="136"/>
      <c r="I94" s="136"/>
      <c r="J94" s="136"/>
      <c r="L94" s="136"/>
      <c r="M94" s="136"/>
      <c r="N94" s="136"/>
      <c r="O94" s="136"/>
      <c r="P94" s="136"/>
      <c r="Q94" s="136"/>
    </row>
    <row r="95" spans="8:17" x14ac:dyDescent="0.35">
      <c r="H95" s="136"/>
      <c r="I95" s="136"/>
      <c r="J95" s="136"/>
      <c r="L95" s="136"/>
      <c r="M95" s="136"/>
      <c r="N95" s="136"/>
      <c r="O95" s="136"/>
      <c r="P95" s="136"/>
      <c r="Q95" s="136"/>
    </row>
    <row r="96" spans="8:17" x14ac:dyDescent="0.35">
      <c r="H96" s="136"/>
      <c r="I96" s="136"/>
      <c r="J96" s="136"/>
      <c r="L96" s="136"/>
      <c r="M96" s="136"/>
      <c r="N96" s="136"/>
      <c r="O96" s="136"/>
      <c r="P96" s="136"/>
      <c r="Q96" s="136"/>
    </row>
    <row r="97" spans="8:17" x14ac:dyDescent="0.35">
      <c r="H97" s="136"/>
      <c r="I97" s="136"/>
      <c r="J97" s="136"/>
      <c r="L97" s="136"/>
      <c r="M97" s="136"/>
      <c r="N97" s="136"/>
      <c r="O97" s="136"/>
      <c r="P97" s="136"/>
      <c r="Q97" s="136"/>
    </row>
    <row r="98" spans="8:17" x14ac:dyDescent="0.35">
      <c r="H98" s="136"/>
      <c r="I98" s="136"/>
      <c r="J98" s="136"/>
      <c r="L98" s="136"/>
      <c r="M98" s="136"/>
      <c r="N98" s="136"/>
      <c r="O98" s="136"/>
      <c r="P98" s="136"/>
      <c r="Q98" s="136"/>
    </row>
    <row r="99" spans="8:17" x14ac:dyDescent="0.35">
      <c r="H99" s="136"/>
      <c r="I99" s="136"/>
      <c r="J99" s="136"/>
      <c r="L99" s="136"/>
      <c r="M99" s="136"/>
      <c r="N99" s="136"/>
      <c r="O99" s="136"/>
      <c r="P99" s="136"/>
      <c r="Q99" s="136"/>
    </row>
    <row r="100" spans="8:17" x14ac:dyDescent="0.35">
      <c r="H100" s="136"/>
      <c r="I100" s="136"/>
      <c r="J100" s="136"/>
      <c r="L100" s="136"/>
      <c r="M100" s="136"/>
      <c r="N100" s="136"/>
      <c r="O100" s="136"/>
      <c r="P100" s="136"/>
      <c r="Q100" s="1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Summary</vt:lpstr>
      <vt:lpstr>Production_Center</vt:lpstr>
      <vt:lpstr>Sheet1</vt:lpstr>
      <vt:lpstr>Summary_Charts</vt:lpstr>
      <vt:lpstr>Descriptive_Stats</vt:lpstr>
      <vt:lpstr>difficulty_level</vt:lpstr>
      <vt:lpstr>team_members</vt:lpstr>
    </vt:vector>
  </TitlesOfParts>
  <Manager/>
  <Company>enTop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Ataul Morshed</dc:creator>
  <cp:keywords/>
  <dc:description/>
  <cp:lastModifiedBy>Ataul Morshed</cp:lastModifiedBy>
  <cp:revision/>
  <cp:lastPrinted>2026-05-14T07:29:25Z</cp:lastPrinted>
  <dcterms:created xsi:type="dcterms:W3CDTF">2014-11-11T21:17:51Z</dcterms:created>
  <dcterms:modified xsi:type="dcterms:W3CDTF">2026-06-03T02:29:13Z</dcterms:modified>
  <cp:category/>
  <cp:contentStatus/>
</cp:coreProperties>
</file>